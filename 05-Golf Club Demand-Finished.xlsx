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10500"/>
  </bookViews>
  <sheets>
    <sheet name="Estimation" sheetId="2" r:id="rId1"/>
    <sheet name="Profit Model" sheetId="6" r:id="rId2"/>
  </sheets>
  <definedNames>
    <definedName name="Profit">'Profit Model'!$B$17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Chris Albright</author>
    <author>yun qian</author>
  </authors>
  <commentList>
    <comment ref="C3" authorId="0">
      <text>
        <r>
          <rPr>
            <b/>
            <sz val="8"/>
            <rFont val="Tahoma"/>
            <charset val="134"/>
          </rPr>
          <t>In hundreds</t>
        </r>
        <r>
          <rPr>
            <sz val="8"/>
            <rFont val="Tahoma"/>
            <charset val="134"/>
          </rPr>
          <t xml:space="preserve">
</t>
        </r>
      </text>
    </comment>
    <comment ref="E19" authorId="1">
      <text>
        <r>
          <rPr>
            <b/>
            <sz val="9"/>
            <rFont val="宋体"/>
            <charset val="134"/>
          </rPr>
          <t>yun qian:</t>
        </r>
        <r>
          <rPr>
            <sz val="9"/>
            <rFont val="宋体"/>
            <charset val="134"/>
          </rPr>
          <t xml:space="preserve">
斜率+slope*价格</t>
        </r>
      </text>
    </comment>
  </commentList>
</comments>
</file>

<file path=xl/sharedStrings.xml><?xml version="1.0" encoding="utf-8"?>
<sst xmlns="http://schemas.openxmlformats.org/spreadsheetml/2006/main" count="58" uniqueCount="46">
  <si>
    <t>Example 2.6: Demand for golf clubs, page 45</t>
  </si>
  <si>
    <t>Month</t>
  </si>
  <si>
    <t>Price</t>
  </si>
  <si>
    <t>Demand</t>
  </si>
  <si>
    <t>线性</t>
  </si>
  <si>
    <t>Parameters of best-fitting curves</t>
  </si>
  <si>
    <t>Prediction</t>
  </si>
  <si>
    <t>Absolute percentage error</t>
  </si>
  <si>
    <t>Linear</t>
  </si>
  <si>
    <t>Power</t>
  </si>
  <si>
    <t>Exponential</t>
  </si>
  <si>
    <t>Intercept</t>
  </si>
  <si>
    <t>指数</t>
  </si>
  <si>
    <t>Slope</t>
  </si>
  <si>
    <t>Constant</t>
  </si>
  <si>
    <t>Exponent</t>
  </si>
  <si>
    <t>MAPE</t>
  </si>
  <si>
    <t>幂函数</t>
  </si>
  <si>
    <t>Profit model, using best fitting power curve for estimating demand</t>
  </si>
  <si>
    <t>Parameters of best-fitting power curve (from Estimation sheet)</t>
  </si>
  <si>
    <t>Monetary inputs</t>
  </si>
  <si>
    <t>Unit cost to produce</t>
  </si>
  <si>
    <t>Decision variable</t>
  </si>
  <si>
    <t>Unit price (trial value)</t>
  </si>
  <si>
    <t>Profit model</t>
  </si>
  <si>
    <t>Predicted demand</t>
  </si>
  <si>
    <t>Total revenue</t>
  </si>
  <si>
    <t>Total cost</t>
  </si>
  <si>
    <t>Profit</t>
  </si>
  <si>
    <t>Maximum profit from data table below, with corresponding best unit price</t>
  </si>
  <si>
    <t>Maximum profit</t>
  </si>
  <si>
    <t>Best price</t>
  </si>
  <si>
    <t>Data table for Profit as a function of Unit price</t>
  </si>
  <si>
    <t>INDEX(Array,row#,col#)</t>
  </si>
  <si>
    <t>Unit price</t>
  </si>
  <si>
    <t>Array = A26:A60</t>
  </si>
  <si>
    <t>row# = MATCH</t>
  </si>
  <si>
    <t>col# = 1</t>
  </si>
  <si>
    <t>MATCH(Lookup value,array,Match type)</t>
  </si>
  <si>
    <t>Lookup value = Maximum profit = cell B20</t>
  </si>
  <si>
    <t>Array = B26:B60</t>
  </si>
  <si>
    <t>Match type = 0 for exact first match</t>
  </si>
  <si>
    <t>Maximum profit for different unit costs (from data table below)</t>
  </si>
  <si>
    <t>Unit cost</t>
  </si>
  <si>
    <t>Corresponding best price</t>
  </si>
  <si>
    <t>Sensitivity of profit to unit cost (unit cost is along the top, unit price is along the side)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</si>
</sst>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quot;$&quot;* #,##0.00_);_(&quot;$&quot;* \(#,##0.00\);_(&quot;$&quot;* &quot;-&quot;??_);_(@_)"/>
    <numFmt numFmtId="177" formatCode="&quot;$&quot;#,##0;\-&quot;$&quot;#,##0"/>
    <numFmt numFmtId="178" formatCode="&quot;$&quot;#,##0"/>
    <numFmt numFmtId="179" formatCode="0.0"/>
    <numFmt numFmtId="180" formatCode="0.0%"/>
  </numFmts>
  <fonts count="29">
    <font>
      <sz val="11"/>
      <color theme="1"/>
      <name val="宋体"/>
      <charset val="134"/>
      <scheme val="minor"/>
    </font>
    <font>
      <sz val="11"/>
      <name val="宋体"/>
      <charset val="134"/>
      <scheme val="minor"/>
    </font>
    <font>
      <b/>
      <sz val="11"/>
      <name val="宋体"/>
      <charset val="134"/>
      <scheme val="minor"/>
    </font>
    <font>
      <sz val="11"/>
      <color theme="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b/>
      <sz val="8"/>
      <name val="Tahoma"/>
      <charset val="134"/>
    </font>
    <font>
      <sz val="8"/>
      <name val="Tahoma"/>
      <charset val="134"/>
    </font>
    <font>
      <b/>
      <sz val="9"/>
      <name val="宋体"/>
      <charset val="134"/>
    </font>
    <font>
      <sz val="9"/>
      <name val="宋体"/>
      <charset val="134"/>
    </font>
  </fonts>
  <fills count="39">
    <fill>
      <patternFill patternType="none"/>
    </fill>
    <fill>
      <patternFill patternType="gray125"/>
    </fill>
    <fill>
      <patternFill patternType="solid">
        <fgColor theme="4" tint="0.599993896298105"/>
        <bgColor indexed="64"/>
      </patternFill>
    </fill>
    <fill>
      <patternFill patternType="solid">
        <fgColor rgb="FFFFFF00"/>
        <bgColor indexed="64"/>
      </patternFill>
    </fill>
    <fill>
      <patternFill patternType="solid">
        <fgColor theme="2" tint="-0.249977111117893"/>
        <bgColor indexed="64"/>
      </patternFill>
    </fill>
    <fill>
      <patternFill patternType="solid">
        <fgColor theme="3" tint="0.799981688894314"/>
        <bgColor indexed="64"/>
      </patternFill>
    </fill>
    <fill>
      <patternFill patternType="solid">
        <fgColor indexed="22"/>
        <bgColor indexed="64"/>
      </patternFill>
    </fill>
    <fill>
      <patternFill patternType="solid">
        <fgColor theme="9"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0" fillId="0" borderId="0" applyFont="0" applyFill="0" applyBorder="0" applyAlignment="0" applyProtection="0"/>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8"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9" borderId="7" applyNumberFormat="0" applyAlignment="0" applyProtection="0">
      <alignment vertical="center"/>
    </xf>
    <xf numFmtId="0" fontId="14" fillId="10" borderId="8" applyNumberFormat="0" applyAlignment="0" applyProtection="0">
      <alignment vertical="center"/>
    </xf>
    <xf numFmtId="0" fontId="15" fillId="10" borderId="7" applyNumberFormat="0" applyAlignment="0" applyProtection="0">
      <alignment vertical="center"/>
    </xf>
    <xf numFmtId="0" fontId="16" fillId="11"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xf numFmtId="176" fontId="24" fillId="0" borderId="0" applyFont="0" applyFill="0" applyBorder="0" applyAlignment="0" applyProtection="0"/>
    <xf numFmtId="0" fontId="24" fillId="0" borderId="0"/>
  </cellStyleXfs>
  <cellXfs count="32">
    <xf numFmtId="0" fontId="0" fillId="0" borderId="0" xfId="0"/>
    <xf numFmtId="0" fontId="1" fillId="0" borderId="0" xfId="50" applyFont="1"/>
    <xf numFmtId="0" fontId="2" fillId="0" borderId="0" xfId="50" applyFont="1"/>
    <xf numFmtId="0" fontId="1" fillId="0" borderId="0" xfId="50" applyNumberFormat="1" applyFont="1"/>
    <xf numFmtId="4" fontId="0" fillId="0" borderId="0" xfId="0" applyNumberFormat="1"/>
    <xf numFmtId="177" fontId="1" fillId="2" borderId="0" xfId="50" applyNumberFormat="1" applyFont="1" applyFill="1" applyBorder="1"/>
    <xf numFmtId="0" fontId="1" fillId="0" borderId="0" xfId="50" applyFont="1" applyBorder="1"/>
    <xf numFmtId="178" fontId="0" fillId="3" borderId="0" xfId="0" applyNumberFormat="1" applyFill="1"/>
    <xf numFmtId="179" fontId="0" fillId="0" borderId="0" xfId="0" applyNumberFormat="1"/>
    <xf numFmtId="178" fontId="0" fillId="0" borderId="0" xfId="0" applyNumberFormat="1"/>
    <xf numFmtId="178" fontId="0" fillId="4" borderId="0" xfId="0" applyNumberFormat="1" applyFill="1"/>
    <xf numFmtId="177" fontId="1" fillId="0" borderId="0" xfId="50" applyNumberFormat="1" applyFont="1"/>
    <xf numFmtId="0" fontId="1" fillId="0" borderId="0" xfId="50" applyFont="1" applyAlignment="1">
      <alignment horizontal="right"/>
    </xf>
    <xf numFmtId="0" fontId="3" fillId="0" borderId="0" xfId="50" applyFont="1"/>
    <xf numFmtId="1" fontId="0" fillId="0" borderId="0" xfId="0" applyNumberFormat="1"/>
    <xf numFmtId="177" fontId="2" fillId="0" borderId="0" xfId="50" applyNumberFormat="1" applyFont="1"/>
    <xf numFmtId="177" fontId="1" fillId="5" borderId="0" xfId="50" applyNumberFormat="1" applyFont="1" applyFill="1"/>
    <xf numFmtId="177" fontId="0" fillId="6" borderId="0" xfId="49" applyNumberFormat="1" applyFont="1" applyFill="1"/>
    <xf numFmtId="178" fontId="1" fillId="0" borderId="0" xfId="50" applyNumberFormat="1" applyFont="1"/>
    <xf numFmtId="0" fontId="1" fillId="5" borderId="0" xfId="50" applyFont="1" applyFill="1"/>
    <xf numFmtId="0" fontId="1" fillId="3" borderId="0" xfId="50" applyFont="1" applyFill="1"/>
    <xf numFmtId="0" fontId="2" fillId="0" borderId="0" xfId="50" applyFont="1" applyAlignment="1">
      <alignment horizontal="left"/>
    </xf>
    <xf numFmtId="0" fontId="2" fillId="7" borderId="1" xfId="50" applyFont="1" applyFill="1" applyBorder="1" applyAlignment="1">
      <alignment horizontal="center"/>
    </xf>
    <xf numFmtId="0" fontId="2" fillId="7" borderId="2" xfId="50" applyFont="1" applyFill="1" applyBorder="1" applyAlignment="1">
      <alignment horizontal="center"/>
    </xf>
    <xf numFmtId="0" fontId="2" fillId="7" borderId="3" xfId="50" applyFont="1" applyFill="1" applyBorder="1" applyAlignment="1">
      <alignment horizontal="center"/>
    </xf>
    <xf numFmtId="0" fontId="1" fillId="0" borderId="0" xfId="50" applyFont="1" applyAlignment="1">
      <alignment horizontal="left" indent="1"/>
    </xf>
    <xf numFmtId="0" fontId="0" fillId="3" borderId="0" xfId="0" applyFill="1"/>
    <xf numFmtId="2" fontId="0" fillId="0" borderId="0" xfId="0" applyNumberFormat="1"/>
    <xf numFmtId="180" fontId="0" fillId="0" borderId="0" xfId="3" applyNumberFormat="1" applyFont="1"/>
    <xf numFmtId="4" fontId="0" fillId="3" borderId="0" xfId="0" applyNumberFormat="1" applyFill="1"/>
    <xf numFmtId="0" fontId="2" fillId="0" borderId="0" xfId="50" applyFont="1" applyAlignment="1">
      <alignment horizontal="right"/>
    </xf>
    <xf numFmtId="180" fontId="0" fillId="0" borderId="0" xfId="0" applyNumberFormat="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urrency 2" xfId="49"/>
    <cellStyle name="Normal 2" xfId="50"/>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t>Demand for golf clubs</a:t>
            </a:r>
            <a:endParaRPr lang="en-US"/>
          </a:p>
        </c:rich>
      </c:tx>
      <c:layout/>
      <c:overlay val="0"/>
    </c:title>
    <c:autoTitleDeleted val="0"/>
    <c:plotArea>
      <c:layout/>
      <c:scatterChart>
        <c:scatterStyle val="marker"/>
        <c:varyColors val="0"/>
        <c:ser>
          <c:idx val="0"/>
          <c:order val="0"/>
          <c:tx>
            <c:strRef>
              <c:f>Estimation!$C$3</c:f>
              <c:strCache>
                <c:ptCount val="1"/>
                <c:pt idx="0">
                  <c:v>Demand</c:v>
                </c:pt>
              </c:strCache>
            </c:strRef>
          </c:tx>
          <c:spPr>
            <a:ln w="28575" cap="rnd" cmpd="sng" algn="ctr">
              <a:noFill/>
              <a:prstDash val="solid"/>
              <a:round/>
            </a:ln>
          </c:spPr>
          <c:dLbls>
            <c:delete val="1"/>
          </c:dLbls>
          <c:trendline>
            <c:trendlineType val="linear"/>
            <c:dispRSqr val="0"/>
            <c:dispEq val="1"/>
            <c:trendlineLbl>
              <c:layout>
                <c:manualLayout>
                  <c:x val="0.0787681686847968"/>
                  <c:y val="0.290480841125809"/>
                </c:manualLayout>
              </c:layout>
              <c:numFmt formatCode="#,##0.00000" sourceLinked="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trendlineLbl>
          </c:trendline>
          <c:xVal>
            <c:numRef>
              <c:f>Estimation!$B$4:$B$15</c:f>
              <c:numCache>
                <c:formatCode>General</c:formatCode>
                <c:ptCount val="12"/>
                <c:pt idx="0">
                  <c:v>450</c:v>
                </c:pt>
                <c:pt idx="1">
                  <c:v>300</c:v>
                </c:pt>
                <c:pt idx="2">
                  <c:v>440</c:v>
                </c:pt>
                <c:pt idx="3">
                  <c:v>360</c:v>
                </c:pt>
                <c:pt idx="4">
                  <c:v>290</c:v>
                </c:pt>
                <c:pt idx="5">
                  <c:v>450</c:v>
                </c:pt>
                <c:pt idx="6">
                  <c:v>340</c:v>
                </c:pt>
                <c:pt idx="7">
                  <c:v>370</c:v>
                </c:pt>
                <c:pt idx="8">
                  <c:v>500</c:v>
                </c:pt>
                <c:pt idx="9">
                  <c:v>490</c:v>
                </c:pt>
                <c:pt idx="10">
                  <c:v>430</c:v>
                </c:pt>
                <c:pt idx="11">
                  <c:v>390</c:v>
                </c:pt>
              </c:numCache>
            </c:numRef>
          </c:xVal>
          <c:yVal>
            <c:numRef>
              <c:f>Estimation!$C$4:$C$15</c:f>
              <c:numCache>
                <c:formatCode>General</c:formatCode>
                <c:ptCount val="12"/>
                <c:pt idx="0">
                  <c:v>45</c:v>
                </c:pt>
                <c:pt idx="1">
                  <c:v>103</c:v>
                </c:pt>
                <c:pt idx="2">
                  <c:v>49</c:v>
                </c:pt>
                <c:pt idx="3">
                  <c:v>86</c:v>
                </c:pt>
                <c:pt idx="4">
                  <c:v>125</c:v>
                </c:pt>
                <c:pt idx="5">
                  <c:v>52</c:v>
                </c:pt>
                <c:pt idx="6">
                  <c:v>87</c:v>
                </c:pt>
                <c:pt idx="7">
                  <c:v>68</c:v>
                </c:pt>
                <c:pt idx="8">
                  <c:v>45</c:v>
                </c:pt>
                <c:pt idx="9">
                  <c:v>44</c:v>
                </c:pt>
                <c:pt idx="10">
                  <c:v>58</c:v>
                </c:pt>
                <c:pt idx="11">
                  <c:v>68</c:v>
                </c:pt>
              </c:numCache>
            </c:numRef>
          </c:yVal>
          <c:smooth val="0"/>
        </c:ser>
        <c:dLbls>
          <c:showLegendKey val="0"/>
          <c:showVal val="0"/>
          <c:showCatName val="0"/>
          <c:showSerName val="0"/>
          <c:showPercent val="0"/>
          <c:showBubbleSize val="0"/>
        </c:dLbls>
        <c:axId val="2138340208"/>
        <c:axId val="2138345072"/>
      </c:scatterChart>
      <c:valAx>
        <c:axId val="2138340208"/>
        <c:scaling>
          <c:orientation val="minMax"/>
          <c:max val="520"/>
          <c:min val="280"/>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en-US"/>
                  <a:t>Price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38345072"/>
        <c:crosses val="autoZero"/>
        <c:crossBetween val="midCat"/>
      </c:valAx>
      <c:valAx>
        <c:axId val="2138345072"/>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en-US"/>
                  <a:t>Demand per month</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38340208"/>
        <c:crosses val="autoZero"/>
        <c:crossBetween val="midCat"/>
      </c:valAx>
    </c:plotArea>
    <c:plotVisOnly val="1"/>
    <c:dispBlanksAs val="gap"/>
    <c:showDLblsOverMax val="0"/>
    <c:extLst>
      <c:ext uri="{0b15fc19-7d7d-44ad-8c2d-2c3a37ce22c3}">
        <chartProps xmlns="https://web.wps.cn/et/2018/main" chartId="{4793bc7c-505c-49f4-9b7f-36dc8af2456e}"/>
      </c:ext>
    </c:extLst>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sz="1800" b="1" i="0" baseline="0">
                <a:effectLst/>
              </a:rPr>
              <a:t>Demand for golf clubs</a:t>
            </a:r>
            <a:endParaRPr lang="en-US">
              <a:effectLst/>
            </a:endParaRPr>
          </a:p>
        </c:rich>
      </c:tx>
      <c:layout/>
      <c:overlay val="0"/>
    </c:title>
    <c:autoTitleDeleted val="0"/>
    <c:plotArea>
      <c:layout/>
      <c:scatterChart>
        <c:scatterStyle val="marker"/>
        <c:varyColors val="0"/>
        <c:ser>
          <c:idx val="0"/>
          <c:order val="0"/>
          <c:tx>
            <c:strRef>
              <c:f>Estimation!$C$3</c:f>
              <c:strCache>
                <c:ptCount val="1"/>
                <c:pt idx="0">
                  <c:v>Demand</c:v>
                </c:pt>
              </c:strCache>
            </c:strRef>
          </c:tx>
          <c:spPr>
            <a:ln w="28575" cap="rnd" cmpd="sng" algn="ctr">
              <a:noFill/>
              <a:prstDash val="solid"/>
              <a:round/>
            </a:ln>
          </c:spPr>
          <c:dLbls>
            <c:delete val="1"/>
          </c:dLbls>
          <c:trendline>
            <c:trendlineType val="power"/>
            <c:dispRSqr val="0"/>
            <c:dispEq val="1"/>
            <c:trendlineLbl>
              <c:layout>
                <c:manualLayout>
                  <c:x val="0.0539453193350831"/>
                  <c:y val="0.322948745990085"/>
                </c:manualLayout>
              </c:layout>
              <c:numFmt formatCode="#,##0.00000" sourceLinked="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trendlineLbl>
          </c:trendline>
          <c:xVal>
            <c:numRef>
              <c:f>Estimation!$B$4:$B$15</c:f>
              <c:numCache>
                <c:formatCode>General</c:formatCode>
                <c:ptCount val="12"/>
                <c:pt idx="0">
                  <c:v>450</c:v>
                </c:pt>
                <c:pt idx="1">
                  <c:v>300</c:v>
                </c:pt>
                <c:pt idx="2">
                  <c:v>440</c:v>
                </c:pt>
                <c:pt idx="3">
                  <c:v>360</c:v>
                </c:pt>
                <c:pt idx="4">
                  <c:v>290</c:v>
                </c:pt>
                <c:pt idx="5">
                  <c:v>450</c:v>
                </c:pt>
                <c:pt idx="6">
                  <c:v>340</c:v>
                </c:pt>
                <c:pt idx="7">
                  <c:v>370</c:v>
                </c:pt>
                <c:pt idx="8">
                  <c:v>500</c:v>
                </c:pt>
                <c:pt idx="9">
                  <c:v>490</c:v>
                </c:pt>
                <c:pt idx="10">
                  <c:v>430</c:v>
                </c:pt>
                <c:pt idx="11">
                  <c:v>390</c:v>
                </c:pt>
              </c:numCache>
            </c:numRef>
          </c:xVal>
          <c:yVal>
            <c:numRef>
              <c:f>Estimation!$C$4:$C$15</c:f>
              <c:numCache>
                <c:formatCode>General</c:formatCode>
                <c:ptCount val="12"/>
                <c:pt idx="0">
                  <c:v>45</c:v>
                </c:pt>
                <c:pt idx="1">
                  <c:v>103</c:v>
                </c:pt>
                <c:pt idx="2">
                  <c:v>49</c:v>
                </c:pt>
                <c:pt idx="3">
                  <c:v>86</c:v>
                </c:pt>
                <c:pt idx="4">
                  <c:v>125</c:v>
                </c:pt>
                <c:pt idx="5">
                  <c:v>52</c:v>
                </c:pt>
                <c:pt idx="6">
                  <c:v>87</c:v>
                </c:pt>
                <c:pt idx="7">
                  <c:v>68</c:v>
                </c:pt>
                <c:pt idx="8">
                  <c:v>45</c:v>
                </c:pt>
                <c:pt idx="9">
                  <c:v>44</c:v>
                </c:pt>
                <c:pt idx="10">
                  <c:v>58</c:v>
                </c:pt>
                <c:pt idx="11">
                  <c:v>68</c:v>
                </c:pt>
              </c:numCache>
            </c:numRef>
          </c:yVal>
          <c:smooth val="0"/>
        </c:ser>
        <c:dLbls>
          <c:showLegendKey val="0"/>
          <c:showVal val="0"/>
          <c:showCatName val="0"/>
          <c:showSerName val="0"/>
          <c:showPercent val="0"/>
          <c:showBubbleSize val="0"/>
        </c:dLbls>
        <c:axId val="2138421312"/>
        <c:axId val="2138426144"/>
      </c:scatterChart>
      <c:valAx>
        <c:axId val="2138421312"/>
        <c:scaling>
          <c:orientation val="minMax"/>
          <c:max val="520"/>
          <c:min val="280"/>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en-US"/>
                  <a:t>Price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38426144"/>
        <c:crosses val="autoZero"/>
        <c:crossBetween val="midCat"/>
      </c:valAx>
      <c:valAx>
        <c:axId val="2138426144"/>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en-US"/>
                  <a:t>Demand per month</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38421312"/>
        <c:crosses val="autoZero"/>
        <c:crossBetween val="midCat"/>
      </c:valAx>
    </c:plotArea>
    <c:plotVisOnly val="1"/>
    <c:dispBlanksAs val="gap"/>
    <c:showDLblsOverMax val="0"/>
    <c:extLst>
      <c:ext uri="{0b15fc19-7d7d-44ad-8c2d-2c3a37ce22c3}">
        <chartProps xmlns="https://web.wps.cn/et/2018/main" chartId="{b157ccde-0fde-4fee-a6dc-112eba3c917d}"/>
      </c:ext>
    </c:extLst>
  </c:chart>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sz="1800" b="1" i="0" baseline="0">
                <a:effectLst/>
              </a:rPr>
              <a:t>Demand for golf clubs</a:t>
            </a:r>
            <a:endParaRPr lang="en-US">
              <a:effectLst/>
            </a:endParaRPr>
          </a:p>
        </c:rich>
      </c:tx>
      <c:layout/>
      <c:overlay val="0"/>
    </c:title>
    <c:autoTitleDeleted val="0"/>
    <c:plotArea>
      <c:layout/>
      <c:scatterChart>
        <c:scatterStyle val="marker"/>
        <c:varyColors val="0"/>
        <c:ser>
          <c:idx val="0"/>
          <c:order val="0"/>
          <c:tx>
            <c:strRef>
              <c:f>Estimation!$C$3</c:f>
              <c:strCache>
                <c:ptCount val="1"/>
                <c:pt idx="0">
                  <c:v>Demand</c:v>
                </c:pt>
              </c:strCache>
            </c:strRef>
          </c:tx>
          <c:spPr>
            <a:ln w="28575" cap="rnd" cmpd="sng" algn="ctr">
              <a:noFill/>
              <a:prstDash val="solid"/>
              <a:round/>
            </a:ln>
          </c:spPr>
          <c:dLbls>
            <c:delete val="1"/>
          </c:dLbls>
          <c:trendline>
            <c:trendlineType val="exp"/>
            <c:dispRSqr val="0"/>
            <c:dispEq val="1"/>
            <c:trendlineLbl>
              <c:layout>
                <c:manualLayout>
                  <c:x val="0.004750656167979"/>
                  <c:y val="0.293403689122193"/>
                </c:manualLayout>
              </c:layout>
              <c:numFmt formatCode="#,##0.00000" sourceLinked="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trendlineLbl>
          </c:trendline>
          <c:xVal>
            <c:numRef>
              <c:f>Estimation!$B$4:$B$15</c:f>
              <c:numCache>
                <c:formatCode>General</c:formatCode>
                <c:ptCount val="12"/>
                <c:pt idx="0">
                  <c:v>450</c:v>
                </c:pt>
                <c:pt idx="1">
                  <c:v>300</c:v>
                </c:pt>
                <c:pt idx="2">
                  <c:v>440</c:v>
                </c:pt>
                <c:pt idx="3">
                  <c:v>360</c:v>
                </c:pt>
                <c:pt idx="4">
                  <c:v>290</c:v>
                </c:pt>
                <c:pt idx="5">
                  <c:v>450</c:v>
                </c:pt>
                <c:pt idx="6">
                  <c:v>340</c:v>
                </c:pt>
                <c:pt idx="7">
                  <c:v>370</c:v>
                </c:pt>
                <c:pt idx="8">
                  <c:v>500</c:v>
                </c:pt>
                <c:pt idx="9">
                  <c:v>490</c:v>
                </c:pt>
                <c:pt idx="10">
                  <c:v>430</c:v>
                </c:pt>
                <c:pt idx="11">
                  <c:v>390</c:v>
                </c:pt>
              </c:numCache>
            </c:numRef>
          </c:xVal>
          <c:yVal>
            <c:numRef>
              <c:f>Estimation!$C$4:$C$15</c:f>
              <c:numCache>
                <c:formatCode>General</c:formatCode>
                <c:ptCount val="12"/>
                <c:pt idx="0">
                  <c:v>45</c:v>
                </c:pt>
                <c:pt idx="1">
                  <c:v>103</c:v>
                </c:pt>
                <c:pt idx="2">
                  <c:v>49</c:v>
                </c:pt>
                <c:pt idx="3">
                  <c:v>86</c:v>
                </c:pt>
                <c:pt idx="4">
                  <c:v>125</c:v>
                </c:pt>
                <c:pt idx="5">
                  <c:v>52</c:v>
                </c:pt>
                <c:pt idx="6">
                  <c:v>87</c:v>
                </c:pt>
                <c:pt idx="7">
                  <c:v>68</c:v>
                </c:pt>
                <c:pt idx="8">
                  <c:v>45</c:v>
                </c:pt>
                <c:pt idx="9">
                  <c:v>44</c:v>
                </c:pt>
                <c:pt idx="10">
                  <c:v>58</c:v>
                </c:pt>
                <c:pt idx="11">
                  <c:v>68</c:v>
                </c:pt>
              </c:numCache>
            </c:numRef>
          </c:yVal>
          <c:smooth val="0"/>
        </c:ser>
        <c:dLbls>
          <c:showLegendKey val="0"/>
          <c:showVal val="0"/>
          <c:showCatName val="0"/>
          <c:showSerName val="0"/>
          <c:showPercent val="0"/>
          <c:showBubbleSize val="0"/>
        </c:dLbls>
        <c:axId val="2138459776"/>
        <c:axId val="2138464608"/>
      </c:scatterChart>
      <c:valAx>
        <c:axId val="2138459776"/>
        <c:scaling>
          <c:orientation val="minMax"/>
          <c:max val="520"/>
          <c:min val="280"/>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en-US"/>
                  <a:t>Price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38464608"/>
        <c:crosses val="autoZero"/>
        <c:crossBetween val="midCat"/>
      </c:valAx>
      <c:valAx>
        <c:axId val="2138464608"/>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en-US"/>
                  <a:t>Demand per month</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38459776"/>
        <c:crosses val="autoZero"/>
        <c:crossBetween val="midCat"/>
      </c:valAx>
    </c:plotArea>
    <c:plotVisOnly val="1"/>
    <c:dispBlanksAs val="gap"/>
    <c:showDLblsOverMax val="0"/>
    <c:extLst>
      <c:ext uri="{0b15fc19-7d7d-44ad-8c2d-2c3a37ce22c3}">
        <chartProps xmlns="https://web.wps.cn/et/2018/main" chartId="{2f443c6c-e409-4bc9-9fb3-84667ce17b13}"/>
      </c:ext>
    </c:extLst>
  </c:chart>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marker"/>
        <c:varyColors val="0"/>
        <c:ser>
          <c:idx val="0"/>
          <c:order val="0"/>
          <c:tx>
            <c:strRef>
              <c:f>Estimation!$C$3</c:f>
              <c:strCache>
                <c:ptCount val="1"/>
                <c:pt idx="0">
                  <c:v>Demand</c:v>
                </c:pt>
              </c:strCache>
            </c:strRef>
          </c:tx>
          <c:spPr>
            <a:ln w="25400" cap="rnd">
              <a:noFill/>
              <a:round/>
            </a:ln>
            <a:effectLst/>
          </c:spPr>
          <c:marker>
            <c:symbol val="circle"/>
            <c:size val="5"/>
            <c:spPr>
              <a:solidFill>
                <a:schemeClr val="accent1"/>
              </a:solidFill>
              <a:ln w="9525">
                <a:solidFill>
                  <a:schemeClr val="accent1"/>
                </a:solidFill>
              </a:ln>
              <a:effectLst/>
            </c:spPr>
          </c:marker>
          <c:dLbls>
            <c:delete val="1"/>
          </c:dLbls>
          <c:trendline>
            <c:spPr>
              <a:ln w="19050" cap="rnd">
                <a:solidFill>
                  <a:schemeClr val="accent1"/>
                </a:solidFill>
                <a:prstDash val="sysDot"/>
              </a:ln>
              <a:effectLst/>
            </c:spPr>
            <c:trendlineType val="linear"/>
            <c:dispRSqr val="0"/>
            <c:dispEq val="1"/>
            <c:trendlineLbl>
              <c:layout>
                <c:manualLayout>
                  <c:x val="-0.326288495188101"/>
                  <c:y val="-0.0176698745990085"/>
                </c:manualLayout>
              </c:layout>
              <c:numFmt formatCode="#,##0.0000_);[Red]\(#,##0.0000\)" sourceLinked="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trendlineLbl>
          </c:trendline>
          <c:xVal>
            <c:numRef>
              <c:f>Estimation!$B$4:$B$15</c:f>
              <c:numCache>
                <c:formatCode>General</c:formatCode>
                <c:ptCount val="12"/>
                <c:pt idx="0">
                  <c:v>450</c:v>
                </c:pt>
                <c:pt idx="1">
                  <c:v>300</c:v>
                </c:pt>
                <c:pt idx="2">
                  <c:v>440</c:v>
                </c:pt>
                <c:pt idx="3">
                  <c:v>360</c:v>
                </c:pt>
                <c:pt idx="4">
                  <c:v>290</c:v>
                </c:pt>
                <c:pt idx="5">
                  <c:v>450</c:v>
                </c:pt>
                <c:pt idx="6">
                  <c:v>340</c:v>
                </c:pt>
                <c:pt idx="7">
                  <c:v>370</c:v>
                </c:pt>
                <c:pt idx="8">
                  <c:v>500</c:v>
                </c:pt>
                <c:pt idx="9">
                  <c:v>490</c:v>
                </c:pt>
                <c:pt idx="10">
                  <c:v>430</c:v>
                </c:pt>
                <c:pt idx="11">
                  <c:v>390</c:v>
                </c:pt>
              </c:numCache>
            </c:numRef>
          </c:xVal>
          <c:yVal>
            <c:numRef>
              <c:f>Estimation!$C$4:$C$15</c:f>
              <c:numCache>
                <c:formatCode>General</c:formatCode>
                <c:ptCount val="12"/>
                <c:pt idx="0">
                  <c:v>45</c:v>
                </c:pt>
                <c:pt idx="1">
                  <c:v>103</c:v>
                </c:pt>
                <c:pt idx="2">
                  <c:v>49</c:v>
                </c:pt>
                <c:pt idx="3">
                  <c:v>86</c:v>
                </c:pt>
                <c:pt idx="4">
                  <c:v>125</c:v>
                </c:pt>
                <c:pt idx="5">
                  <c:v>52</c:v>
                </c:pt>
                <c:pt idx="6">
                  <c:v>87</c:v>
                </c:pt>
                <c:pt idx="7">
                  <c:v>68</c:v>
                </c:pt>
                <c:pt idx="8">
                  <c:v>45</c:v>
                </c:pt>
                <c:pt idx="9">
                  <c:v>44</c:v>
                </c:pt>
                <c:pt idx="10">
                  <c:v>58</c:v>
                </c:pt>
                <c:pt idx="11">
                  <c:v>68</c:v>
                </c:pt>
              </c:numCache>
            </c:numRef>
          </c:yVal>
          <c:smooth val="0"/>
        </c:ser>
        <c:dLbls>
          <c:showLegendKey val="0"/>
          <c:showVal val="0"/>
          <c:showCatName val="0"/>
          <c:showSerName val="0"/>
          <c:showPercent val="0"/>
          <c:showBubbleSize val="0"/>
        </c:dLbls>
        <c:axId val="2023878991"/>
        <c:axId val="700373423"/>
      </c:scatterChart>
      <c:valAx>
        <c:axId val="2023878991"/>
        <c:scaling>
          <c:orientation val="minMax"/>
          <c:min val="26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0373423"/>
        <c:crosses val="autoZero"/>
        <c:crossBetween val="midCat"/>
      </c:valAx>
      <c:valAx>
        <c:axId val="700373423"/>
        <c:scaling>
          <c:orientation val="minMax"/>
          <c:min val="3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023878991"/>
        <c:crosses val="autoZero"/>
        <c:crossBetween val="midCat"/>
      </c:valAx>
      <c:spPr>
        <a:noFill/>
        <a:ln>
          <a:noFill/>
        </a:ln>
        <a:effectLst/>
      </c:spPr>
    </c:plotArea>
    <c:plotVisOnly val="1"/>
    <c:dispBlanksAs val="gap"/>
    <c:showDLblsOverMax val="0"/>
    <c:extLst>
      <c:ext uri="{0b15fc19-7d7d-44ad-8c2d-2c3a37ce22c3}">
        <chartProps xmlns="https://web.wps.cn/et/2018/main" chartId="{f14b03e8-1fc9-4cca-8be6-c3724e4d7b30}"/>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marker"/>
        <c:varyColors val="0"/>
        <c:ser>
          <c:idx val="0"/>
          <c:order val="0"/>
          <c:tx>
            <c:strRef>
              <c:f>Estimation!$C$3</c:f>
              <c:strCache>
                <c:ptCount val="1"/>
                <c:pt idx="0">
                  <c:v>Demand</c:v>
                </c:pt>
              </c:strCache>
            </c:strRef>
          </c:tx>
          <c:spPr>
            <a:ln w="25400" cap="rnd">
              <a:noFill/>
              <a:round/>
            </a:ln>
            <a:effectLst/>
          </c:spPr>
          <c:marker>
            <c:symbol val="circle"/>
            <c:size val="5"/>
            <c:spPr>
              <a:solidFill>
                <a:schemeClr val="accent1"/>
              </a:solidFill>
              <a:ln w="9525">
                <a:solidFill>
                  <a:schemeClr val="accent1"/>
                </a:solidFill>
              </a:ln>
              <a:effectLst/>
            </c:spPr>
          </c:marker>
          <c:dLbls>
            <c:delete val="1"/>
          </c:dLbls>
          <c:trendline>
            <c:spPr>
              <a:ln w="19050" cap="rnd">
                <a:solidFill>
                  <a:schemeClr val="accent1"/>
                </a:solidFill>
                <a:prstDash val="sysDot"/>
              </a:ln>
              <a:effectLst/>
            </c:spPr>
            <c:trendlineType val="power"/>
            <c:dispRSqr val="0"/>
            <c:dispEq val="1"/>
            <c:trendlineLbl>
              <c:layout>
                <c:manualLayout>
                  <c:x val="-0.359996937882765"/>
                  <c:y val="-0.00738772236803733"/>
                </c:manualLayout>
              </c:layout>
              <c:numFmt formatCode="#,##0.0000_);[Red]\(#,##0.0000\)" sourceLinked="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trendlineLbl>
          </c:trendline>
          <c:xVal>
            <c:numRef>
              <c:f>Estimation!$B$4:$B$15</c:f>
              <c:numCache>
                <c:formatCode>General</c:formatCode>
                <c:ptCount val="12"/>
                <c:pt idx="0">
                  <c:v>450</c:v>
                </c:pt>
                <c:pt idx="1">
                  <c:v>300</c:v>
                </c:pt>
                <c:pt idx="2">
                  <c:v>440</c:v>
                </c:pt>
                <c:pt idx="3">
                  <c:v>360</c:v>
                </c:pt>
                <c:pt idx="4">
                  <c:v>290</c:v>
                </c:pt>
                <c:pt idx="5">
                  <c:v>450</c:v>
                </c:pt>
                <c:pt idx="6">
                  <c:v>340</c:v>
                </c:pt>
                <c:pt idx="7">
                  <c:v>370</c:v>
                </c:pt>
                <c:pt idx="8">
                  <c:v>500</c:v>
                </c:pt>
                <c:pt idx="9">
                  <c:v>490</c:v>
                </c:pt>
                <c:pt idx="10">
                  <c:v>430</c:v>
                </c:pt>
                <c:pt idx="11">
                  <c:v>390</c:v>
                </c:pt>
              </c:numCache>
            </c:numRef>
          </c:xVal>
          <c:yVal>
            <c:numRef>
              <c:f>Estimation!$C$4:$C$15</c:f>
              <c:numCache>
                <c:formatCode>General</c:formatCode>
                <c:ptCount val="12"/>
                <c:pt idx="0">
                  <c:v>45</c:v>
                </c:pt>
                <c:pt idx="1">
                  <c:v>103</c:v>
                </c:pt>
                <c:pt idx="2">
                  <c:v>49</c:v>
                </c:pt>
                <c:pt idx="3">
                  <c:v>86</c:v>
                </c:pt>
                <c:pt idx="4">
                  <c:v>125</c:v>
                </c:pt>
                <c:pt idx="5">
                  <c:v>52</c:v>
                </c:pt>
                <c:pt idx="6">
                  <c:v>87</c:v>
                </c:pt>
                <c:pt idx="7">
                  <c:v>68</c:v>
                </c:pt>
                <c:pt idx="8">
                  <c:v>45</c:v>
                </c:pt>
                <c:pt idx="9">
                  <c:v>44</c:v>
                </c:pt>
                <c:pt idx="10">
                  <c:v>58</c:v>
                </c:pt>
                <c:pt idx="11">
                  <c:v>68</c:v>
                </c:pt>
              </c:numCache>
            </c:numRef>
          </c:yVal>
          <c:smooth val="0"/>
        </c:ser>
        <c:dLbls>
          <c:showLegendKey val="0"/>
          <c:showVal val="0"/>
          <c:showCatName val="0"/>
          <c:showSerName val="0"/>
          <c:showPercent val="0"/>
          <c:showBubbleSize val="0"/>
        </c:dLbls>
        <c:axId val="2023878991"/>
        <c:axId val="700373423"/>
      </c:scatterChart>
      <c:valAx>
        <c:axId val="2023878991"/>
        <c:scaling>
          <c:orientation val="minMax"/>
          <c:min val="26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0373423"/>
        <c:crosses val="autoZero"/>
        <c:crossBetween val="midCat"/>
      </c:valAx>
      <c:valAx>
        <c:axId val="700373423"/>
        <c:scaling>
          <c:orientation val="minMax"/>
          <c:min val="3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023878991"/>
        <c:crosses val="autoZero"/>
        <c:crossBetween val="midCat"/>
      </c:valAx>
      <c:spPr>
        <a:noFill/>
        <a:ln>
          <a:noFill/>
        </a:ln>
        <a:effectLst/>
      </c:spPr>
    </c:plotArea>
    <c:plotVisOnly val="1"/>
    <c:dispBlanksAs val="gap"/>
    <c:showDLblsOverMax val="0"/>
    <c:extLst>
      <c:ext uri="{0b15fc19-7d7d-44ad-8c2d-2c3a37ce22c3}">
        <chartProps xmlns="https://web.wps.cn/et/2018/main" chartId="{fcde9343-45c7-4868-a460-9455d175dc31}"/>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marker"/>
        <c:varyColors val="0"/>
        <c:ser>
          <c:idx val="0"/>
          <c:order val="0"/>
          <c:tx>
            <c:strRef>
              <c:f>Estimation!$C$3</c:f>
              <c:strCache>
                <c:ptCount val="1"/>
                <c:pt idx="0">
                  <c:v>Demand</c:v>
                </c:pt>
              </c:strCache>
            </c:strRef>
          </c:tx>
          <c:spPr>
            <a:ln w="25400" cap="rnd">
              <a:noFill/>
              <a:round/>
            </a:ln>
            <a:effectLst/>
          </c:spPr>
          <c:marker>
            <c:symbol val="circle"/>
            <c:size val="5"/>
            <c:spPr>
              <a:solidFill>
                <a:schemeClr val="accent1"/>
              </a:solidFill>
              <a:ln w="9525">
                <a:solidFill>
                  <a:schemeClr val="accent1"/>
                </a:solidFill>
              </a:ln>
              <a:effectLst/>
            </c:spPr>
          </c:marker>
          <c:dLbls>
            <c:delete val="1"/>
          </c:dLbls>
          <c:trendline>
            <c:spPr>
              <a:ln w="19050" cap="rnd">
                <a:solidFill>
                  <a:schemeClr val="accent1"/>
                </a:solidFill>
                <a:prstDash val="sysDot"/>
              </a:ln>
              <a:effectLst/>
            </c:spPr>
            <c:trendlineType val="exp"/>
            <c:dispRSqr val="0"/>
            <c:dispEq val="1"/>
            <c:trendlineLbl>
              <c:layout>
                <c:manualLayout>
                  <c:x val="-0.411524496937883"/>
                  <c:y val="-0.0229410906969962"/>
                </c:manualLayout>
              </c:layout>
              <c:numFmt formatCode="#,##0.0000_);[Red]\(#,##0.0000\)" sourceLinked="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trendlineLbl>
          </c:trendline>
          <c:xVal>
            <c:numRef>
              <c:f>Estimation!$B$4:$B$15</c:f>
              <c:numCache>
                <c:formatCode>General</c:formatCode>
                <c:ptCount val="12"/>
                <c:pt idx="0">
                  <c:v>450</c:v>
                </c:pt>
                <c:pt idx="1">
                  <c:v>300</c:v>
                </c:pt>
                <c:pt idx="2">
                  <c:v>440</c:v>
                </c:pt>
                <c:pt idx="3">
                  <c:v>360</c:v>
                </c:pt>
                <c:pt idx="4">
                  <c:v>290</c:v>
                </c:pt>
                <c:pt idx="5">
                  <c:v>450</c:v>
                </c:pt>
                <c:pt idx="6">
                  <c:v>340</c:v>
                </c:pt>
                <c:pt idx="7">
                  <c:v>370</c:v>
                </c:pt>
                <c:pt idx="8">
                  <c:v>500</c:v>
                </c:pt>
                <c:pt idx="9">
                  <c:v>490</c:v>
                </c:pt>
                <c:pt idx="10">
                  <c:v>430</c:v>
                </c:pt>
                <c:pt idx="11">
                  <c:v>390</c:v>
                </c:pt>
              </c:numCache>
            </c:numRef>
          </c:xVal>
          <c:yVal>
            <c:numRef>
              <c:f>Estimation!$C$4:$C$15</c:f>
              <c:numCache>
                <c:formatCode>General</c:formatCode>
                <c:ptCount val="12"/>
                <c:pt idx="0">
                  <c:v>45</c:v>
                </c:pt>
                <c:pt idx="1">
                  <c:v>103</c:v>
                </c:pt>
                <c:pt idx="2">
                  <c:v>49</c:v>
                </c:pt>
                <c:pt idx="3">
                  <c:v>86</c:v>
                </c:pt>
                <c:pt idx="4">
                  <c:v>125</c:v>
                </c:pt>
                <c:pt idx="5">
                  <c:v>52</c:v>
                </c:pt>
                <c:pt idx="6">
                  <c:v>87</c:v>
                </c:pt>
                <c:pt idx="7">
                  <c:v>68</c:v>
                </c:pt>
                <c:pt idx="8">
                  <c:v>45</c:v>
                </c:pt>
                <c:pt idx="9">
                  <c:v>44</c:v>
                </c:pt>
                <c:pt idx="10">
                  <c:v>58</c:v>
                </c:pt>
                <c:pt idx="11">
                  <c:v>68</c:v>
                </c:pt>
              </c:numCache>
            </c:numRef>
          </c:yVal>
          <c:smooth val="0"/>
        </c:ser>
        <c:dLbls>
          <c:showLegendKey val="0"/>
          <c:showVal val="0"/>
          <c:showCatName val="0"/>
          <c:showSerName val="0"/>
          <c:showPercent val="0"/>
          <c:showBubbleSize val="0"/>
        </c:dLbls>
        <c:axId val="2023878991"/>
        <c:axId val="700373423"/>
      </c:scatterChart>
      <c:valAx>
        <c:axId val="2023878991"/>
        <c:scaling>
          <c:orientation val="minMax"/>
          <c:min val="26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0373423"/>
        <c:crosses val="autoZero"/>
        <c:crossBetween val="midCat"/>
      </c:valAx>
      <c:valAx>
        <c:axId val="700373423"/>
        <c:scaling>
          <c:orientation val="minMax"/>
          <c:min val="3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023878991"/>
        <c:crosses val="autoZero"/>
        <c:crossBetween val="midCat"/>
      </c:valAx>
      <c:spPr>
        <a:noFill/>
        <a:ln>
          <a:noFill/>
        </a:ln>
        <a:effectLst/>
      </c:spPr>
    </c:plotArea>
    <c:plotVisOnly val="1"/>
    <c:dispBlanksAs val="gap"/>
    <c:showDLblsOverMax val="0"/>
    <c:extLst>
      <c:ext uri="{0b15fc19-7d7d-44ad-8c2d-2c3a37ce22c3}">
        <chartProps xmlns="https://web.wps.cn/et/2018/main" chartId="{652280db-aad5-4834-b24f-89a5cdb865a4}"/>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t>Profit versus price</a:t>
            </a:r>
            <a:endParaRPr lang="en-US"/>
          </a:p>
        </c:rich>
      </c:tx>
      <c:layout/>
      <c:overlay val="0"/>
    </c:title>
    <c:autoTitleDeleted val="0"/>
    <c:plotArea>
      <c:layout/>
      <c:scatterChart>
        <c:scatterStyle val="marker"/>
        <c:varyColors val="0"/>
        <c:ser>
          <c:idx val="0"/>
          <c:order val="0"/>
          <c:spPr>
            <a:ln w="28575" cap="rnd" cmpd="sng" algn="ctr">
              <a:noFill/>
              <a:prstDash val="solid"/>
              <a:round/>
            </a:ln>
          </c:spPr>
          <c:dLbls>
            <c:delete val="1"/>
          </c:dLbls>
          <c:xVal>
            <c:numRef>
              <c:f>'Profit Model'!$A$26:$A$60</c:f>
              <c:numCache>
                <c:formatCode>"$"#,##0</c:formatCode>
                <c:ptCount val="35"/>
                <c:pt idx="0">
                  <c:v>260</c:v>
                </c:pt>
                <c:pt idx="1">
                  <c:v>270</c:v>
                </c:pt>
                <c:pt idx="2">
                  <c:v>280</c:v>
                </c:pt>
                <c:pt idx="3">
                  <c:v>290</c:v>
                </c:pt>
                <c:pt idx="4">
                  <c:v>300</c:v>
                </c:pt>
                <c:pt idx="5">
                  <c:v>310</c:v>
                </c:pt>
                <c:pt idx="6">
                  <c:v>320</c:v>
                </c:pt>
                <c:pt idx="7">
                  <c:v>330</c:v>
                </c:pt>
                <c:pt idx="8">
                  <c:v>340</c:v>
                </c:pt>
                <c:pt idx="9">
                  <c:v>350</c:v>
                </c:pt>
                <c:pt idx="10">
                  <c:v>360</c:v>
                </c:pt>
                <c:pt idx="11">
                  <c:v>370</c:v>
                </c:pt>
                <c:pt idx="12">
                  <c:v>380</c:v>
                </c:pt>
                <c:pt idx="13">
                  <c:v>390</c:v>
                </c:pt>
                <c:pt idx="14">
                  <c:v>400</c:v>
                </c:pt>
                <c:pt idx="15">
                  <c:v>410</c:v>
                </c:pt>
                <c:pt idx="16">
                  <c:v>420</c:v>
                </c:pt>
                <c:pt idx="17">
                  <c:v>430</c:v>
                </c:pt>
                <c:pt idx="18">
                  <c:v>440</c:v>
                </c:pt>
                <c:pt idx="19">
                  <c:v>450</c:v>
                </c:pt>
                <c:pt idx="20">
                  <c:v>460</c:v>
                </c:pt>
                <c:pt idx="21">
                  <c:v>470</c:v>
                </c:pt>
                <c:pt idx="22">
                  <c:v>480</c:v>
                </c:pt>
                <c:pt idx="23">
                  <c:v>490</c:v>
                </c:pt>
                <c:pt idx="24">
                  <c:v>500</c:v>
                </c:pt>
                <c:pt idx="25">
                  <c:v>510</c:v>
                </c:pt>
                <c:pt idx="26">
                  <c:v>520</c:v>
                </c:pt>
                <c:pt idx="27">
                  <c:v>530</c:v>
                </c:pt>
                <c:pt idx="28">
                  <c:v>540</c:v>
                </c:pt>
                <c:pt idx="29">
                  <c:v>550</c:v>
                </c:pt>
                <c:pt idx="30">
                  <c:v>560</c:v>
                </c:pt>
                <c:pt idx="31">
                  <c:v>570</c:v>
                </c:pt>
                <c:pt idx="32">
                  <c:v>580</c:v>
                </c:pt>
                <c:pt idx="33">
                  <c:v>590</c:v>
                </c:pt>
                <c:pt idx="34">
                  <c:v>600</c:v>
                </c:pt>
              </c:numCache>
            </c:numRef>
          </c:xVal>
          <c:yVal>
            <c:numRef>
              <c:f>'Profit Model'!$B$26:$B$60</c:f>
              <c:numCache>
                <c:formatCode>"$"#,##0</c:formatCode>
                <c:ptCount val="35"/>
                <c:pt idx="0">
                  <c:v>1447.38955988464</c:v>
                </c:pt>
                <c:pt idx="1">
                  <c:v>2693.64313906428</c:v>
                </c:pt>
                <c:pt idx="2">
                  <c:v>3769.58453328205</c:v>
                </c:pt>
                <c:pt idx="3">
                  <c:v>4700.58684973657</c:v>
                </c:pt>
                <c:pt idx="4">
                  <c:v>5507.67001010245</c:v>
                </c:pt>
                <c:pt idx="5">
                  <c:v>6208.35101983567</c:v>
                </c:pt>
                <c:pt idx="6">
                  <c:v>6817.30836158726</c:v>
                </c:pt>
                <c:pt idx="7">
                  <c:v>7346.90530561036</c:v>
                </c:pt>
                <c:pt idx="8">
                  <c:v>7807.60517984383</c:v>
                </c:pt>
                <c:pt idx="9">
                  <c:v>8208.30321298579</c:v>
                </c:pt>
                <c:pt idx="10">
                  <c:v>8556.59345275769</c:v>
                </c:pt>
                <c:pt idx="11">
                  <c:v>8858.98478718192</c:v>
                </c:pt>
                <c:pt idx="12">
                  <c:v>9121.07679018585</c:v>
                </c:pt>
                <c:pt idx="13">
                  <c:v>9347.7036479766</c:v>
                </c:pt>
                <c:pt idx="14">
                  <c:v>9543.05257001159</c:v>
                </c:pt>
                <c:pt idx="15">
                  <c:v>9710.76168509907</c:v>
                </c:pt>
                <c:pt idx="16">
                  <c:v>9854.00135239616</c:v>
                </c:pt>
                <c:pt idx="17">
                  <c:v>9975.54199433818</c:v>
                </c:pt>
                <c:pt idx="18">
                  <c:v>10077.8109221999</c:v>
                </c:pt>
                <c:pt idx="19">
                  <c:v>10162.9401297345</c:v>
                </c:pt>
                <c:pt idx="20">
                  <c:v>10232.8066425837</c:v>
                </c:pt>
                <c:pt idx="21">
                  <c:v>10289.0667058396</c:v>
                </c:pt>
                <c:pt idx="22">
                  <c:v>10333.1848504404</c:v>
                </c:pt>
                <c:pt idx="23">
                  <c:v>10366.4586867503</c:v>
                </c:pt>
                <c:pt idx="24">
                  <c:v>10390.0401198746</c:v>
                </c:pt>
                <c:pt idx="25">
                  <c:v>10404.9535576909</c:v>
                </c:pt>
                <c:pt idx="26">
                  <c:v>10412.111582849</c:v>
                </c:pt>
                <c:pt idx="27">
                  <c:v>10412.3284791541</c:v>
                </c:pt>
                <c:pt idx="28">
                  <c:v>10406.3319369546</c:v>
                </c:pt>
                <c:pt idx="29">
                  <c:v>10394.7732083886</c:v>
                </c:pt>
                <c:pt idx="30">
                  <c:v>10378.2359392437</c:v>
                </c:pt>
                <c:pt idx="31">
                  <c:v>10357.2438678693</c:v>
                </c:pt>
                <c:pt idx="32">
                  <c:v>10332.2675515863</c:v>
                </c:pt>
                <c:pt idx="33">
                  <c:v>10303.7302561637</c:v>
                </c:pt>
                <c:pt idx="34">
                  <c:v>10272.0131232488</c:v>
                </c:pt>
              </c:numCache>
            </c:numRef>
          </c:yVal>
          <c:smooth val="0"/>
        </c:ser>
        <c:dLbls>
          <c:showLegendKey val="0"/>
          <c:showVal val="0"/>
          <c:showCatName val="0"/>
          <c:showSerName val="0"/>
          <c:showPercent val="0"/>
          <c:showBubbleSize val="0"/>
        </c:dLbls>
        <c:axId val="2135081152"/>
        <c:axId val="2135076016"/>
      </c:scatterChart>
      <c:valAx>
        <c:axId val="2135081152"/>
        <c:scaling>
          <c:orientation val="minMax"/>
          <c:max val="600"/>
          <c:min val="260"/>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en-US"/>
                  <a:t>Price</a:t>
                </a:r>
                <a:endParaRPr lang="en-US"/>
              </a:p>
            </c:rich>
          </c:tx>
          <c:layout/>
          <c:overlay val="0"/>
        </c:title>
        <c:numFmt formatCode="&quot;$&quot;#,##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35076016"/>
        <c:crosses val="autoZero"/>
        <c:crossBetween val="midCat"/>
      </c:valAx>
      <c:valAx>
        <c:axId val="2135076016"/>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en-US"/>
                  <a:t>Profit</a:t>
                </a:r>
                <a:endParaRPr lang="en-US"/>
              </a:p>
            </c:rich>
          </c:tx>
          <c:layout/>
          <c:overlay val="0"/>
        </c:title>
        <c:numFmt formatCode="&quot;$&quot;#,##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35081152"/>
        <c:crosses val="autoZero"/>
        <c:crossBetween val="midCat"/>
      </c:valAx>
    </c:plotArea>
    <c:plotVisOnly val="1"/>
    <c:dispBlanksAs val="gap"/>
    <c:showDLblsOverMax val="0"/>
    <c:extLst>
      <c:ext uri="{0b15fc19-7d7d-44ad-8c2d-2c3a37ce22c3}">
        <chartProps xmlns="https://web.wps.cn/et/2018/main" chartId="{d4745902-0329-4192-875b-40fba9f2cf00}"/>
      </c:ext>
    </c:extLst>
  </c:chart>
  <c:txPr>
    <a:bodyPr/>
    <a:lstStyle/>
    <a:p>
      <a:pPr>
        <a:defRPr lang="zh-CN"/>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t>Profict verses cost</a:t>
            </a:r>
            <a:endParaRPr lang="en-US"/>
          </a:p>
        </c:rich>
      </c:tx>
      <c:layout/>
      <c:overlay val="0"/>
    </c:title>
    <c:autoTitleDeleted val="0"/>
    <c:plotArea>
      <c:layout/>
      <c:scatterChart>
        <c:scatterStyle val="marker"/>
        <c:varyColors val="0"/>
        <c:ser>
          <c:idx val="0"/>
          <c:order val="0"/>
          <c:spPr>
            <a:ln w="28575" cap="rnd" cmpd="sng" algn="ctr">
              <a:noFill/>
              <a:prstDash val="solid"/>
              <a:round/>
            </a:ln>
          </c:spPr>
          <c:dLbls>
            <c:delete val="1"/>
          </c:dLbls>
          <c:xVal>
            <c:numRef>
              <c:f>'Profit Model'!$B$78:$F$78</c:f>
              <c:numCache>
                <c:formatCode>"$"#,##0;\-"$"#,##0</c:formatCode>
                <c:ptCount val="5"/>
                <c:pt idx="0">
                  <c:v>150</c:v>
                </c:pt>
                <c:pt idx="1">
                  <c:v>200</c:v>
                </c:pt>
                <c:pt idx="2">
                  <c:v>250</c:v>
                </c:pt>
                <c:pt idx="3">
                  <c:v>300</c:v>
                </c:pt>
                <c:pt idx="4">
                  <c:v>350</c:v>
                </c:pt>
              </c:numCache>
            </c:numRef>
          </c:xVal>
          <c:yVal>
            <c:numRef>
              <c:f>'Profit Model'!$B$79:$F$79</c:f>
              <c:numCache>
                <c:formatCode>"$"#,##0</c:formatCode>
                <c:ptCount val="5"/>
                <c:pt idx="0">
                  <c:v>16556.3203067119</c:v>
                </c:pt>
                <c:pt idx="1">
                  <c:v>12752.2370442774</c:v>
                </c:pt>
                <c:pt idx="2">
                  <c:v>10412.3284791541</c:v>
                </c:pt>
                <c:pt idx="3">
                  <c:v>8824.07315821305</c:v>
                </c:pt>
                <c:pt idx="4">
                  <c:v>7671.08739613393</c:v>
                </c:pt>
              </c:numCache>
            </c:numRef>
          </c:yVal>
          <c:smooth val="0"/>
        </c:ser>
        <c:dLbls>
          <c:showLegendKey val="0"/>
          <c:showVal val="0"/>
          <c:showCatName val="0"/>
          <c:showSerName val="0"/>
          <c:showPercent val="0"/>
          <c:showBubbleSize val="0"/>
        </c:dLbls>
        <c:axId val="2135047488"/>
        <c:axId val="2137160112"/>
      </c:scatterChart>
      <c:valAx>
        <c:axId val="2135047488"/>
        <c:scaling>
          <c:orientation val="minMax"/>
          <c:min val="150"/>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en-US"/>
                  <a:t>Cost per unit</a:t>
                </a:r>
                <a:endParaRPr lang="en-US"/>
              </a:p>
            </c:rich>
          </c:tx>
          <c:layout/>
          <c:overlay val="0"/>
        </c:title>
        <c:numFmt formatCode="&quot;$&quot;#,##0;\-&quot;$&quot;#,##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37160112"/>
        <c:crosses val="autoZero"/>
        <c:crossBetween val="midCat"/>
      </c:valAx>
      <c:valAx>
        <c:axId val="2137160112"/>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en-US"/>
                  <a:t>Prodit</a:t>
                </a:r>
                <a:endParaRPr lang="en-US"/>
              </a:p>
            </c:rich>
          </c:tx>
          <c:layout/>
          <c:overlay val="0"/>
        </c:title>
        <c:numFmt formatCode="&quot;$&quot;#,##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35047488"/>
        <c:crosses val="autoZero"/>
        <c:crossBetween val="midCat"/>
      </c:valAx>
    </c:plotArea>
    <c:plotVisOnly val="1"/>
    <c:dispBlanksAs val="gap"/>
    <c:showDLblsOverMax val="0"/>
    <c:extLst>
      <c:ext uri="{0b15fc19-7d7d-44ad-8c2d-2c3a37ce22c3}">
        <chartProps xmlns="https://web.wps.cn/et/2018/main" chartId="{3e887dd0-a330-4175-a6e7-6744d6d69614}"/>
      </c:ext>
    </c:extLst>
  </c:chart>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476250</xdr:colOff>
      <xdr:row>1</xdr:row>
      <xdr:rowOff>19049</xdr:rowOff>
    </xdr:from>
    <xdr:to>
      <xdr:col>9</xdr:col>
      <xdr:colOff>495300</xdr:colOff>
      <xdr:row>15</xdr:row>
      <xdr:rowOff>60324</xdr:rowOff>
    </xdr:to>
    <xdr:graphicFrame>
      <xdr:nvGraphicFramePr>
        <xdr:cNvPr id="3" name="Chart 2"/>
        <xdr:cNvGraphicFramePr/>
      </xdr:nvGraphicFramePr>
      <xdr:xfrm>
        <a:off x="2705100" y="201295"/>
        <a:ext cx="4495800" cy="260159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622300</xdr:colOff>
      <xdr:row>1</xdr:row>
      <xdr:rowOff>34925</xdr:rowOff>
    </xdr:from>
    <xdr:to>
      <xdr:col>17</xdr:col>
      <xdr:colOff>38100</xdr:colOff>
      <xdr:row>15</xdr:row>
      <xdr:rowOff>111125</xdr:rowOff>
    </xdr:to>
    <xdr:graphicFrame>
      <xdr:nvGraphicFramePr>
        <xdr:cNvPr id="4" name="Chart 3"/>
        <xdr:cNvGraphicFramePr/>
      </xdr:nvGraphicFramePr>
      <xdr:xfrm>
        <a:off x="7327900" y="217805"/>
        <a:ext cx="4559300" cy="2636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133350</xdr:colOff>
      <xdr:row>16</xdr:row>
      <xdr:rowOff>41275</xdr:rowOff>
    </xdr:from>
    <xdr:to>
      <xdr:col>17</xdr:col>
      <xdr:colOff>330200</xdr:colOff>
      <xdr:row>30</xdr:row>
      <xdr:rowOff>168275</xdr:rowOff>
    </xdr:to>
    <xdr:graphicFrame>
      <xdr:nvGraphicFramePr>
        <xdr:cNvPr id="5" name="Chart 4"/>
        <xdr:cNvGraphicFramePr/>
      </xdr:nvGraphicFramePr>
      <xdr:xfrm>
        <a:off x="7639050" y="2967355"/>
        <a:ext cx="4540250" cy="269303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246528</xdr:colOff>
      <xdr:row>0</xdr:row>
      <xdr:rowOff>107577</xdr:rowOff>
    </xdr:from>
    <xdr:to>
      <xdr:col>25</xdr:col>
      <xdr:colOff>13446</xdr:colOff>
      <xdr:row>15</xdr:row>
      <xdr:rowOff>161365</xdr:rowOff>
    </xdr:to>
    <xdr:graphicFrame>
      <xdr:nvGraphicFramePr>
        <xdr:cNvPr id="2" name="图表 1"/>
        <xdr:cNvGraphicFramePr/>
      </xdr:nvGraphicFramePr>
      <xdr:xfrm>
        <a:off x="12095480" y="107315"/>
        <a:ext cx="4582795" cy="27971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403412</xdr:colOff>
      <xdr:row>35</xdr:row>
      <xdr:rowOff>107576</xdr:rowOff>
    </xdr:from>
    <xdr:to>
      <xdr:col>25</xdr:col>
      <xdr:colOff>170330</xdr:colOff>
      <xdr:row>50</xdr:row>
      <xdr:rowOff>161364</xdr:rowOff>
    </xdr:to>
    <xdr:graphicFrame>
      <xdr:nvGraphicFramePr>
        <xdr:cNvPr id="6" name="图表 5"/>
        <xdr:cNvGraphicFramePr/>
      </xdr:nvGraphicFramePr>
      <xdr:xfrm>
        <a:off x="12252325" y="6513830"/>
        <a:ext cx="4582795" cy="279717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457200</xdr:colOff>
      <xdr:row>18</xdr:row>
      <xdr:rowOff>98613</xdr:rowOff>
    </xdr:from>
    <xdr:to>
      <xdr:col>25</xdr:col>
      <xdr:colOff>224118</xdr:colOff>
      <xdr:row>33</xdr:row>
      <xdr:rowOff>152401</xdr:rowOff>
    </xdr:to>
    <xdr:graphicFrame>
      <xdr:nvGraphicFramePr>
        <xdr:cNvPr id="7" name="图表 6"/>
        <xdr:cNvGraphicFramePr/>
      </xdr:nvGraphicFramePr>
      <xdr:xfrm>
        <a:off x="12306300" y="3390265"/>
        <a:ext cx="4582160" cy="280289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552449</xdr:colOff>
      <xdr:row>95</xdr:row>
      <xdr:rowOff>57151</xdr:rowOff>
    </xdr:from>
    <xdr:to>
      <xdr:col>12</xdr:col>
      <xdr:colOff>9524</xdr:colOff>
      <xdr:row>109</xdr:row>
      <xdr:rowOff>152400</xdr:rowOff>
    </xdr:to>
    <xdr:sp>
      <xdr:nvSpPr>
        <xdr:cNvPr id="8" name="TextBox 7"/>
        <xdr:cNvSpPr txBox="1"/>
      </xdr:nvSpPr>
      <xdr:spPr>
        <a:xfrm>
          <a:off x="6160135" y="17430750"/>
          <a:ext cx="4272915" cy="2655570"/>
        </a:xfrm>
        <a:prstGeom prst="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To color the maximum profit in each</a:t>
          </a:r>
          <a:r>
            <a:rPr lang="en-US" sz="1100" baseline="0"/>
            <a:t> column of the table red, use conditional formatting as follows.</a:t>
          </a:r>
          <a:endParaRPr lang="en-US" sz="1100" baseline="0"/>
        </a:p>
        <a:p>
          <a:endParaRPr lang="en-US" sz="1100" baseline="0"/>
        </a:p>
        <a:p>
          <a:r>
            <a:rPr lang="en-US" sz="1100" baseline="0"/>
            <a:t>1. Highlight the entire table, range B84:F168. If you do this in the usual way, starting from the top left cell, the "active cell" will be cell B84. The conditional formatting formula in the next step is relative to this active cell.</a:t>
          </a:r>
          <a:endParaRPr lang="en-US" sz="1100" baseline="0"/>
        </a:p>
        <a:p>
          <a:r>
            <a:rPr lang="en-US" sz="1100" baseline="0"/>
            <a:t>2.  Select New Rule from the Conditional Formatting dropdown.  Then select the option "Format only cells that contain".</a:t>
          </a:r>
          <a:endParaRPr lang="en-US" sz="1100" baseline="0"/>
        </a:p>
        <a:p>
          <a:r>
            <a:rPr lang="en-US" sz="1100" baseline="0"/>
            <a:t>3. In the resulting dialog box, specify the condition Cell Value "greater than or equal to" B$79, and then specify some format, such as dark red on red.</a:t>
          </a:r>
          <a:endParaRPr lang="en-US" sz="1100" baseline="0"/>
        </a:p>
        <a:p>
          <a:endParaRPr lang="en-US" sz="1100" baseline="0"/>
        </a:p>
        <a:p>
          <a:r>
            <a:rPr lang="en-US" sz="1100" baseline="0"/>
            <a:t>The effect is that each cell in the table, in a relative sense, is tested against this condition. Only the maximums, one per column, satisfy it.</a:t>
          </a:r>
          <a:endParaRPr lang="en-US" sz="1100"/>
        </a:p>
      </xdr:txBody>
    </xdr:sp>
    <xdr:clientData/>
  </xdr:twoCellAnchor>
  <xdr:twoCellAnchor>
    <xdr:from>
      <xdr:col>2</xdr:col>
      <xdr:colOff>304800</xdr:colOff>
      <xdr:row>21</xdr:row>
      <xdr:rowOff>161925</xdr:rowOff>
    </xdr:from>
    <xdr:to>
      <xdr:col>8</xdr:col>
      <xdr:colOff>133350</xdr:colOff>
      <xdr:row>36</xdr:row>
      <xdr:rowOff>60325</xdr:rowOff>
    </xdr:to>
    <xdr:graphicFrame>
      <xdr:nvGraphicFramePr>
        <xdr:cNvPr id="2" name="Chart 1"/>
        <xdr:cNvGraphicFramePr/>
      </xdr:nvGraphicFramePr>
      <xdr:xfrm>
        <a:off x="2804160" y="4002405"/>
        <a:ext cx="4949190" cy="2641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546100</xdr:colOff>
      <xdr:row>79</xdr:row>
      <xdr:rowOff>168275</xdr:rowOff>
    </xdr:from>
    <xdr:to>
      <xdr:col>12</xdr:col>
      <xdr:colOff>374650</xdr:colOff>
      <xdr:row>94</xdr:row>
      <xdr:rowOff>53975</xdr:rowOff>
    </xdr:to>
    <xdr:graphicFrame>
      <xdr:nvGraphicFramePr>
        <xdr:cNvPr id="3" name="Chart 2"/>
        <xdr:cNvGraphicFramePr/>
      </xdr:nvGraphicFramePr>
      <xdr:xfrm>
        <a:off x="6154420" y="14615795"/>
        <a:ext cx="4644390" cy="26289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A37"/>
  <sheetViews>
    <sheetView tabSelected="1" zoomScale="85" zoomScaleNormal="85" workbookViewId="0">
      <selection activeCell="I32" sqref="I32"/>
    </sheetView>
  </sheetViews>
  <sheetFormatPr defaultColWidth="8.77777777777778" defaultRowHeight="14.4"/>
  <cols>
    <col min="1" max="1" width="11.6666666666667" style="1" customWidth="1"/>
    <col min="2" max="2" width="14.3333333333333" style="1" customWidth="1"/>
    <col min="3" max="3" width="8.77777777777778" style="1"/>
    <col min="4" max="4" width="4.66666666666667" style="1" customWidth="1"/>
    <col min="5" max="10" width="11.6666666666667" style="1" customWidth="1"/>
    <col min="11" max="12" width="8.77777777777778" style="1"/>
    <col min="13" max="13" width="10.6666666666667" style="1" customWidth="1"/>
    <col min="14" max="256" width="8.77777777777778" style="1"/>
    <col min="257" max="257" width="11.6666666666667" style="1" customWidth="1"/>
    <col min="258" max="260" width="8.77777777777778" style="1"/>
    <col min="261" max="261" width="9.66666666666667" style="1" customWidth="1"/>
    <col min="262" max="262" width="8.77777777777778" style="1"/>
    <col min="263" max="263" width="10.6666666666667" style="1" customWidth="1"/>
    <col min="264" max="265" width="8.77777777777778" style="1"/>
    <col min="266" max="266" width="10.6666666666667" style="1" customWidth="1"/>
    <col min="267" max="268" width="8.77777777777778" style="1"/>
    <col min="269" max="269" width="10.6666666666667" style="1" customWidth="1"/>
    <col min="270" max="512" width="8.77777777777778" style="1"/>
    <col min="513" max="513" width="11.6666666666667" style="1" customWidth="1"/>
    <col min="514" max="516" width="8.77777777777778" style="1"/>
    <col min="517" max="517" width="9.66666666666667" style="1" customWidth="1"/>
    <col min="518" max="518" width="8.77777777777778" style="1"/>
    <col min="519" max="519" width="10.6666666666667" style="1" customWidth="1"/>
    <col min="520" max="521" width="8.77777777777778" style="1"/>
    <col min="522" max="522" width="10.6666666666667" style="1" customWidth="1"/>
    <col min="523" max="524" width="8.77777777777778" style="1"/>
    <col min="525" max="525" width="10.6666666666667" style="1" customWidth="1"/>
    <col min="526" max="768" width="8.77777777777778" style="1"/>
    <col min="769" max="769" width="11.6666666666667" style="1" customWidth="1"/>
    <col min="770" max="772" width="8.77777777777778" style="1"/>
    <col min="773" max="773" width="9.66666666666667" style="1" customWidth="1"/>
    <col min="774" max="774" width="8.77777777777778" style="1"/>
    <col min="775" max="775" width="10.6666666666667" style="1" customWidth="1"/>
    <col min="776" max="777" width="8.77777777777778" style="1"/>
    <col min="778" max="778" width="10.6666666666667" style="1" customWidth="1"/>
    <col min="779" max="780" width="8.77777777777778" style="1"/>
    <col min="781" max="781" width="10.6666666666667" style="1" customWidth="1"/>
    <col min="782" max="1024" width="8.77777777777778" style="1"/>
    <col min="1025" max="1025" width="11.6666666666667" style="1" customWidth="1"/>
    <col min="1026" max="1028" width="8.77777777777778" style="1"/>
    <col min="1029" max="1029" width="9.66666666666667" style="1" customWidth="1"/>
    <col min="1030" max="1030" width="8.77777777777778" style="1"/>
    <col min="1031" max="1031" width="10.6666666666667" style="1" customWidth="1"/>
    <col min="1032" max="1033" width="8.77777777777778" style="1"/>
    <col min="1034" max="1034" width="10.6666666666667" style="1" customWidth="1"/>
    <col min="1035" max="1036" width="8.77777777777778" style="1"/>
    <col min="1037" max="1037" width="10.6666666666667" style="1" customWidth="1"/>
    <col min="1038" max="1280" width="8.77777777777778" style="1"/>
    <col min="1281" max="1281" width="11.6666666666667" style="1" customWidth="1"/>
    <col min="1282" max="1284" width="8.77777777777778" style="1"/>
    <col min="1285" max="1285" width="9.66666666666667" style="1" customWidth="1"/>
    <col min="1286" max="1286" width="8.77777777777778" style="1"/>
    <col min="1287" max="1287" width="10.6666666666667" style="1" customWidth="1"/>
    <col min="1288" max="1289" width="8.77777777777778" style="1"/>
    <col min="1290" max="1290" width="10.6666666666667" style="1" customWidth="1"/>
    <col min="1291" max="1292" width="8.77777777777778" style="1"/>
    <col min="1293" max="1293" width="10.6666666666667" style="1" customWidth="1"/>
    <col min="1294" max="1536" width="8.77777777777778" style="1"/>
    <col min="1537" max="1537" width="11.6666666666667" style="1" customWidth="1"/>
    <col min="1538" max="1540" width="8.77777777777778" style="1"/>
    <col min="1541" max="1541" width="9.66666666666667" style="1" customWidth="1"/>
    <col min="1542" max="1542" width="8.77777777777778" style="1"/>
    <col min="1543" max="1543" width="10.6666666666667" style="1" customWidth="1"/>
    <col min="1544" max="1545" width="8.77777777777778" style="1"/>
    <col min="1546" max="1546" width="10.6666666666667" style="1" customWidth="1"/>
    <col min="1547" max="1548" width="8.77777777777778" style="1"/>
    <col min="1549" max="1549" width="10.6666666666667" style="1" customWidth="1"/>
    <col min="1550" max="1792" width="8.77777777777778" style="1"/>
    <col min="1793" max="1793" width="11.6666666666667" style="1" customWidth="1"/>
    <col min="1794" max="1796" width="8.77777777777778" style="1"/>
    <col min="1797" max="1797" width="9.66666666666667" style="1" customWidth="1"/>
    <col min="1798" max="1798" width="8.77777777777778" style="1"/>
    <col min="1799" max="1799" width="10.6666666666667" style="1" customWidth="1"/>
    <col min="1800" max="1801" width="8.77777777777778" style="1"/>
    <col min="1802" max="1802" width="10.6666666666667" style="1" customWidth="1"/>
    <col min="1803" max="1804" width="8.77777777777778" style="1"/>
    <col min="1805" max="1805" width="10.6666666666667" style="1" customWidth="1"/>
    <col min="1806" max="2048" width="8.77777777777778" style="1"/>
    <col min="2049" max="2049" width="11.6666666666667" style="1" customWidth="1"/>
    <col min="2050" max="2052" width="8.77777777777778" style="1"/>
    <col min="2053" max="2053" width="9.66666666666667" style="1" customWidth="1"/>
    <col min="2054" max="2054" width="8.77777777777778" style="1"/>
    <col min="2055" max="2055" width="10.6666666666667" style="1" customWidth="1"/>
    <col min="2056" max="2057" width="8.77777777777778" style="1"/>
    <col min="2058" max="2058" width="10.6666666666667" style="1" customWidth="1"/>
    <col min="2059" max="2060" width="8.77777777777778" style="1"/>
    <col min="2061" max="2061" width="10.6666666666667" style="1" customWidth="1"/>
    <col min="2062" max="2304" width="8.77777777777778" style="1"/>
    <col min="2305" max="2305" width="11.6666666666667" style="1" customWidth="1"/>
    <col min="2306" max="2308" width="8.77777777777778" style="1"/>
    <col min="2309" max="2309" width="9.66666666666667" style="1" customWidth="1"/>
    <col min="2310" max="2310" width="8.77777777777778" style="1"/>
    <col min="2311" max="2311" width="10.6666666666667" style="1" customWidth="1"/>
    <col min="2312" max="2313" width="8.77777777777778" style="1"/>
    <col min="2314" max="2314" width="10.6666666666667" style="1" customWidth="1"/>
    <col min="2315" max="2316" width="8.77777777777778" style="1"/>
    <col min="2317" max="2317" width="10.6666666666667" style="1" customWidth="1"/>
    <col min="2318" max="2560" width="8.77777777777778" style="1"/>
    <col min="2561" max="2561" width="11.6666666666667" style="1" customWidth="1"/>
    <col min="2562" max="2564" width="8.77777777777778" style="1"/>
    <col min="2565" max="2565" width="9.66666666666667" style="1" customWidth="1"/>
    <col min="2566" max="2566" width="8.77777777777778" style="1"/>
    <col min="2567" max="2567" width="10.6666666666667" style="1" customWidth="1"/>
    <col min="2568" max="2569" width="8.77777777777778" style="1"/>
    <col min="2570" max="2570" width="10.6666666666667" style="1" customWidth="1"/>
    <col min="2571" max="2572" width="8.77777777777778" style="1"/>
    <col min="2573" max="2573" width="10.6666666666667" style="1" customWidth="1"/>
    <col min="2574" max="2816" width="8.77777777777778" style="1"/>
    <col min="2817" max="2817" width="11.6666666666667" style="1" customWidth="1"/>
    <col min="2818" max="2820" width="8.77777777777778" style="1"/>
    <col min="2821" max="2821" width="9.66666666666667" style="1" customWidth="1"/>
    <col min="2822" max="2822" width="8.77777777777778" style="1"/>
    <col min="2823" max="2823" width="10.6666666666667" style="1" customWidth="1"/>
    <col min="2824" max="2825" width="8.77777777777778" style="1"/>
    <col min="2826" max="2826" width="10.6666666666667" style="1" customWidth="1"/>
    <col min="2827" max="2828" width="8.77777777777778" style="1"/>
    <col min="2829" max="2829" width="10.6666666666667" style="1" customWidth="1"/>
    <col min="2830" max="3072" width="8.77777777777778" style="1"/>
    <col min="3073" max="3073" width="11.6666666666667" style="1" customWidth="1"/>
    <col min="3074" max="3076" width="8.77777777777778" style="1"/>
    <col min="3077" max="3077" width="9.66666666666667" style="1" customWidth="1"/>
    <col min="3078" max="3078" width="8.77777777777778" style="1"/>
    <col min="3079" max="3079" width="10.6666666666667" style="1" customWidth="1"/>
    <col min="3080" max="3081" width="8.77777777777778" style="1"/>
    <col min="3082" max="3082" width="10.6666666666667" style="1" customWidth="1"/>
    <col min="3083" max="3084" width="8.77777777777778" style="1"/>
    <col min="3085" max="3085" width="10.6666666666667" style="1" customWidth="1"/>
    <col min="3086" max="3328" width="8.77777777777778" style="1"/>
    <col min="3329" max="3329" width="11.6666666666667" style="1" customWidth="1"/>
    <col min="3330" max="3332" width="8.77777777777778" style="1"/>
    <col min="3333" max="3333" width="9.66666666666667" style="1" customWidth="1"/>
    <col min="3334" max="3334" width="8.77777777777778" style="1"/>
    <col min="3335" max="3335" width="10.6666666666667" style="1" customWidth="1"/>
    <col min="3336" max="3337" width="8.77777777777778" style="1"/>
    <col min="3338" max="3338" width="10.6666666666667" style="1" customWidth="1"/>
    <col min="3339" max="3340" width="8.77777777777778" style="1"/>
    <col min="3341" max="3341" width="10.6666666666667" style="1" customWidth="1"/>
    <col min="3342" max="3584" width="8.77777777777778" style="1"/>
    <col min="3585" max="3585" width="11.6666666666667" style="1" customWidth="1"/>
    <col min="3586" max="3588" width="8.77777777777778" style="1"/>
    <col min="3589" max="3589" width="9.66666666666667" style="1" customWidth="1"/>
    <col min="3590" max="3590" width="8.77777777777778" style="1"/>
    <col min="3591" max="3591" width="10.6666666666667" style="1" customWidth="1"/>
    <col min="3592" max="3593" width="8.77777777777778" style="1"/>
    <col min="3594" max="3594" width="10.6666666666667" style="1" customWidth="1"/>
    <col min="3595" max="3596" width="8.77777777777778" style="1"/>
    <col min="3597" max="3597" width="10.6666666666667" style="1" customWidth="1"/>
    <col min="3598" max="3840" width="8.77777777777778" style="1"/>
    <col min="3841" max="3841" width="11.6666666666667" style="1" customWidth="1"/>
    <col min="3842" max="3844" width="8.77777777777778" style="1"/>
    <col min="3845" max="3845" width="9.66666666666667" style="1" customWidth="1"/>
    <col min="3846" max="3846" width="8.77777777777778" style="1"/>
    <col min="3847" max="3847" width="10.6666666666667" style="1" customWidth="1"/>
    <col min="3848" max="3849" width="8.77777777777778" style="1"/>
    <col min="3850" max="3850" width="10.6666666666667" style="1" customWidth="1"/>
    <col min="3851" max="3852" width="8.77777777777778" style="1"/>
    <col min="3853" max="3853" width="10.6666666666667" style="1" customWidth="1"/>
    <col min="3854" max="4096" width="8.77777777777778" style="1"/>
    <col min="4097" max="4097" width="11.6666666666667" style="1" customWidth="1"/>
    <col min="4098" max="4100" width="8.77777777777778" style="1"/>
    <col min="4101" max="4101" width="9.66666666666667" style="1" customWidth="1"/>
    <col min="4102" max="4102" width="8.77777777777778" style="1"/>
    <col min="4103" max="4103" width="10.6666666666667" style="1" customWidth="1"/>
    <col min="4104" max="4105" width="8.77777777777778" style="1"/>
    <col min="4106" max="4106" width="10.6666666666667" style="1" customWidth="1"/>
    <col min="4107" max="4108" width="8.77777777777778" style="1"/>
    <col min="4109" max="4109" width="10.6666666666667" style="1" customWidth="1"/>
    <col min="4110" max="4352" width="8.77777777777778" style="1"/>
    <col min="4353" max="4353" width="11.6666666666667" style="1" customWidth="1"/>
    <col min="4354" max="4356" width="8.77777777777778" style="1"/>
    <col min="4357" max="4357" width="9.66666666666667" style="1" customWidth="1"/>
    <col min="4358" max="4358" width="8.77777777777778" style="1"/>
    <col min="4359" max="4359" width="10.6666666666667" style="1" customWidth="1"/>
    <col min="4360" max="4361" width="8.77777777777778" style="1"/>
    <col min="4362" max="4362" width="10.6666666666667" style="1" customWidth="1"/>
    <col min="4363" max="4364" width="8.77777777777778" style="1"/>
    <col min="4365" max="4365" width="10.6666666666667" style="1" customWidth="1"/>
    <col min="4366" max="4608" width="8.77777777777778" style="1"/>
    <col min="4609" max="4609" width="11.6666666666667" style="1" customWidth="1"/>
    <col min="4610" max="4612" width="8.77777777777778" style="1"/>
    <col min="4613" max="4613" width="9.66666666666667" style="1" customWidth="1"/>
    <col min="4614" max="4614" width="8.77777777777778" style="1"/>
    <col min="4615" max="4615" width="10.6666666666667" style="1" customWidth="1"/>
    <col min="4616" max="4617" width="8.77777777777778" style="1"/>
    <col min="4618" max="4618" width="10.6666666666667" style="1" customWidth="1"/>
    <col min="4619" max="4620" width="8.77777777777778" style="1"/>
    <col min="4621" max="4621" width="10.6666666666667" style="1" customWidth="1"/>
    <col min="4622" max="4864" width="8.77777777777778" style="1"/>
    <col min="4865" max="4865" width="11.6666666666667" style="1" customWidth="1"/>
    <col min="4866" max="4868" width="8.77777777777778" style="1"/>
    <col min="4869" max="4869" width="9.66666666666667" style="1" customWidth="1"/>
    <col min="4870" max="4870" width="8.77777777777778" style="1"/>
    <col min="4871" max="4871" width="10.6666666666667" style="1" customWidth="1"/>
    <col min="4872" max="4873" width="8.77777777777778" style="1"/>
    <col min="4874" max="4874" width="10.6666666666667" style="1" customWidth="1"/>
    <col min="4875" max="4876" width="8.77777777777778" style="1"/>
    <col min="4877" max="4877" width="10.6666666666667" style="1" customWidth="1"/>
    <col min="4878" max="5120" width="8.77777777777778" style="1"/>
    <col min="5121" max="5121" width="11.6666666666667" style="1" customWidth="1"/>
    <col min="5122" max="5124" width="8.77777777777778" style="1"/>
    <col min="5125" max="5125" width="9.66666666666667" style="1" customWidth="1"/>
    <col min="5126" max="5126" width="8.77777777777778" style="1"/>
    <col min="5127" max="5127" width="10.6666666666667" style="1" customWidth="1"/>
    <col min="5128" max="5129" width="8.77777777777778" style="1"/>
    <col min="5130" max="5130" width="10.6666666666667" style="1" customWidth="1"/>
    <col min="5131" max="5132" width="8.77777777777778" style="1"/>
    <col min="5133" max="5133" width="10.6666666666667" style="1" customWidth="1"/>
    <col min="5134" max="5376" width="8.77777777777778" style="1"/>
    <col min="5377" max="5377" width="11.6666666666667" style="1" customWidth="1"/>
    <col min="5378" max="5380" width="8.77777777777778" style="1"/>
    <col min="5381" max="5381" width="9.66666666666667" style="1" customWidth="1"/>
    <col min="5382" max="5382" width="8.77777777777778" style="1"/>
    <col min="5383" max="5383" width="10.6666666666667" style="1" customWidth="1"/>
    <col min="5384" max="5385" width="8.77777777777778" style="1"/>
    <col min="5386" max="5386" width="10.6666666666667" style="1" customWidth="1"/>
    <col min="5387" max="5388" width="8.77777777777778" style="1"/>
    <col min="5389" max="5389" width="10.6666666666667" style="1" customWidth="1"/>
    <col min="5390" max="5632" width="8.77777777777778" style="1"/>
    <col min="5633" max="5633" width="11.6666666666667" style="1" customWidth="1"/>
    <col min="5634" max="5636" width="8.77777777777778" style="1"/>
    <col min="5637" max="5637" width="9.66666666666667" style="1" customWidth="1"/>
    <col min="5638" max="5638" width="8.77777777777778" style="1"/>
    <col min="5639" max="5639" width="10.6666666666667" style="1" customWidth="1"/>
    <col min="5640" max="5641" width="8.77777777777778" style="1"/>
    <col min="5642" max="5642" width="10.6666666666667" style="1" customWidth="1"/>
    <col min="5643" max="5644" width="8.77777777777778" style="1"/>
    <col min="5645" max="5645" width="10.6666666666667" style="1" customWidth="1"/>
    <col min="5646" max="5888" width="8.77777777777778" style="1"/>
    <col min="5889" max="5889" width="11.6666666666667" style="1" customWidth="1"/>
    <col min="5890" max="5892" width="8.77777777777778" style="1"/>
    <col min="5893" max="5893" width="9.66666666666667" style="1" customWidth="1"/>
    <col min="5894" max="5894" width="8.77777777777778" style="1"/>
    <col min="5895" max="5895" width="10.6666666666667" style="1" customWidth="1"/>
    <col min="5896" max="5897" width="8.77777777777778" style="1"/>
    <col min="5898" max="5898" width="10.6666666666667" style="1" customWidth="1"/>
    <col min="5899" max="5900" width="8.77777777777778" style="1"/>
    <col min="5901" max="5901" width="10.6666666666667" style="1" customWidth="1"/>
    <col min="5902" max="6144" width="8.77777777777778" style="1"/>
    <col min="6145" max="6145" width="11.6666666666667" style="1" customWidth="1"/>
    <col min="6146" max="6148" width="8.77777777777778" style="1"/>
    <col min="6149" max="6149" width="9.66666666666667" style="1" customWidth="1"/>
    <col min="6150" max="6150" width="8.77777777777778" style="1"/>
    <col min="6151" max="6151" width="10.6666666666667" style="1" customWidth="1"/>
    <col min="6152" max="6153" width="8.77777777777778" style="1"/>
    <col min="6154" max="6154" width="10.6666666666667" style="1" customWidth="1"/>
    <col min="6155" max="6156" width="8.77777777777778" style="1"/>
    <col min="6157" max="6157" width="10.6666666666667" style="1" customWidth="1"/>
    <col min="6158" max="6400" width="8.77777777777778" style="1"/>
    <col min="6401" max="6401" width="11.6666666666667" style="1" customWidth="1"/>
    <col min="6402" max="6404" width="8.77777777777778" style="1"/>
    <col min="6405" max="6405" width="9.66666666666667" style="1" customWidth="1"/>
    <col min="6406" max="6406" width="8.77777777777778" style="1"/>
    <col min="6407" max="6407" width="10.6666666666667" style="1" customWidth="1"/>
    <col min="6408" max="6409" width="8.77777777777778" style="1"/>
    <col min="6410" max="6410" width="10.6666666666667" style="1" customWidth="1"/>
    <col min="6411" max="6412" width="8.77777777777778" style="1"/>
    <col min="6413" max="6413" width="10.6666666666667" style="1" customWidth="1"/>
    <col min="6414" max="6656" width="8.77777777777778" style="1"/>
    <col min="6657" max="6657" width="11.6666666666667" style="1" customWidth="1"/>
    <col min="6658" max="6660" width="8.77777777777778" style="1"/>
    <col min="6661" max="6661" width="9.66666666666667" style="1" customWidth="1"/>
    <col min="6662" max="6662" width="8.77777777777778" style="1"/>
    <col min="6663" max="6663" width="10.6666666666667" style="1" customWidth="1"/>
    <col min="6664" max="6665" width="8.77777777777778" style="1"/>
    <col min="6666" max="6666" width="10.6666666666667" style="1" customWidth="1"/>
    <col min="6667" max="6668" width="8.77777777777778" style="1"/>
    <col min="6669" max="6669" width="10.6666666666667" style="1" customWidth="1"/>
    <col min="6670" max="6912" width="8.77777777777778" style="1"/>
    <col min="6913" max="6913" width="11.6666666666667" style="1" customWidth="1"/>
    <col min="6914" max="6916" width="8.77777777777778" style="1"/>
    <col min="6917" max="6917" width="9.66666666666667" style="1" customWidth="1"/>
    <col min="6918" max="6918" width="8.77777777777778" style="1"/>
    <col min="6919" max="6919" width="10.6666666666667" style="1" customWidth="1"/>
    <col min="6920" max="6921" width="8.77777777777778" style="1"/>
    <col min="6922" max="6922" width="10.6666666666667" style="1" customWidth="1"/>
    <col min="6923" max="6924" width="8.77777777777778" style="1"/>
    <col min="6925" max="6925" width="10.6666666666667" style="1" customWidth="1"/>
    <col min="6926" max="7168" width="8.77777777777778" style="1"/>
    <col min="7169" max="7169" width="11.6666666666667" style="1" customWidth="1"/>
    <col min="7170" max="7172" width="8.77777777777778" style="1"/>
    <col min="7173" max="7173" width="9.66666666666667" style="1" customWidth="1"/>
    <col min="7174" max="7174" width="8.77777777777778" style="1"/>
    <col min="7175" max="7175" width="10.6666666666667" style="1" customWidth="1"/>
    <col min="7176" max="7177" width="8.77777777777778" style="1"/>
    <col min="7178" max="7178" width="10.6666666666667" style="1" customWidth="1"/>
    <col min="7179" max="7180" width="8.77777777777778" style="1"/>
    <col min="7181" max="7181" width="10.6666666666667" style="1" customWidth="1"/>
    <col min="7182" max="7424" width="8.77777777777778" style="1"/>
    <col min="7425" max="7425" width="11.6666666666667" style="1" customWidth="1"/>
    <col min="7426" max="7428" width="8.77777777777778" style="1"/>
    <col min="7429" max="7429" width="9.66666666666667" style="1" customWidth="1"/>
    <col min="7430" max="7430" width="8.77777777777778" style="1"/>
    <col min="7431" max="7431" width="10.6666666666667" style="1" customWidth="1"/>
    <col min="7432" max="7433" width="8.77777777777778" style="1"/>
    <col min="7434" max="7434" width="10.6666666666667" style="1" customWidth="1"/>
    <col min="7435" max="7436" width="8.77777777777778" style="1"/>
    <col min="7437" max="7437" width="10.6666666666667" style="1" customWidth="1"/>
    <col min="7438" max="7680" width="8.77777777777778" style="1"/>
    <col min="7681" max="7681" width="11.6666666666667" style="1" customWidth="1"/>
    <col min="7682" max="7684" width="8.77777777777778" style="1"/>
    <col min="7685" max="7685" width="9.66666666666667" style="1" customWidth="1"/>
    <col min="7686" max="7686" width="8.77777777777778" style="1"/>
    <col min="7687" max="7687" width="10.6666666666667" style="1" customWidth="1"/>
    <col min="7688" max="7689" width="8.77777777777778" style="1"/>
    <col min="7690" max="7690" width="10.6666666666667" style="1" customWidth="1"/>
    <col min="7691" max="7692" width="8.77777777777778" style="1"/>
    <col min="7693" max="7693" width="10.6666666666667" style="1" customWidth="1"/>
    <col min="7694" max="7936" width="8.77777777777778" style="1"/>
    <col min="7937" max="7937" width="11.6666666666667" style="1" customWidth="1"/>
    <col min="7938" max="7940" width="8.77777777777778" style="1"/>
    <col min="7941" max="7941" width="9.66666666666667" style="1" customWidth="1"/>
    <col min="7942" max="7942" width="8.77777777777778" style="1"/>
    <col min="7943" max="7943" width="10.6666666666667" style="1" customWidth="1"/>
    <col min="7944" max="7945" width="8.77777777777778" style="1"/>
    <col min="7946" max="7946" width="10.6666666666667" style="1" customWidth="1"/>
    <col min="7947" max="7948" width="8.77777777777778" style="1"/>
    <col min="7949" max="7949" width="10.6666666666667" style="1" customWidth="1"/>
    <col min="7950" max="8192" width="8.77777777777778" style="1"/>
    <col min="8193" max="8193" width="11.6666666666667" style="1" customWidth="1"/>
    <col min="8194" max="8196" width="8.77777777777778" style="1"/>
    <col min="8197" max="8197" width="9.66666666666667" style="1" customWidth="1"/>
    <col min="8198" max="8198" width="8.77777777777778" style="1"/>
    <col min="8199" max="8199" width="10.6666666666667" style="1" customWidth="1"/>
    <col min="8200" max="8201" width="8.77777777777778" style="1"/>
    <col min="8202" max="8202" width="10.6666666666667" style="1" customWidth="1"/>
    <col min="8203" max="8204" width="8.77777777777778" style="1"/>
    <col min="8205" max="8205" width="10.6666666666667" style="1" customWidth="1"/>
    <col min="8206" max="8448" width="8.77777777777778" style="1"/>
    <col min="8449" max="8449" width="11.6666666666667" style="1" customWidth="1"/>
    <col min="8450" max="8452" width="8.77777777777778" style="1"/>
    <col min="8453" max="8453" width="9.66666666666667" style="1" customWidth="1"/>
    <col min="8454" max="8454" width="8.77777777777778" style="1"/>
    <col min="8455" max="8455" width="10.6666666666667" style="1" customWidth="1"/>
    <col min="8456" max="8457" width="8.77777777777778" style="1"/>
    <col min="8458" max="8458" width="10.6666666666667" style="1" customWidth="1"/>
    <col min="8459" max="8460" width="8.77777777777778" style="1"/>
    <col min="8461" max="8461" width="10.6666666666667" style="1" customWidth="1"/>
    <col min="8462" max="8704" width="8.77777777777778" style="1"/>
    <col min="8705" max="8705" width="11.6666666666667" style="1" customWidth="1"/>
    <col min="8706" max="8708" width="8.77777777777778" style="1"/>
    <col min="8709" max="8709" width="9.66666666666667" style="1" customWidth="1"/>
    <col min="8710" max="8710" width="8.77777777777778" style="1"/>
    <col min="8711" max="8711" width="10.6666666666667" style="1" customWidth="1"/>
    <col min="8712" max="8713" width="8.77777777777778" style="1"/>
    <col min="8714" max="8714" width="10.6666666666667" style="1" customWidth="1"/>
    <col min="8715" max="8716" width="8.77777777777778" style="1"/>
    <col min="8717" max="8717" width="10.6666666666667" style="1" customWidth="1"/>
    <col min="8718" max="8960" width="8.77777777777778" style="1"/>
    <col min="8961" max="8961" width="11.6666666666667" style="1" customWidth="1"/>
    <col min="8962" max="8964" width="8.77777777777778" style="1"/>
    <col min="8965" max="8965" width="9.66666666666667" style="1" customWidth="1"/>
    <col min="8966" max="8966" width="8.77777777777778" style="1"/>
    <col min="8967" max="8967" width="10.6666666666667" style="1" customWidth="1"/>
    <col min="8968" max="8969" width="8.77777777777778" style="1"/>
    <col min="8970" max="8970" width="10.6666666666667" style="1" customWidth="1"/>
    <col min="8971" max="8972" width="8.77777777777778" style="1"/>
    <col min="8973" max="8973" width="10.6666666666667" style="1" customWidth="1"/>
    <col min="8974" max="9216" width="8.77777777777778" style="1"/>
    <col min="9217" max="9217" width="11.6666666666667" style="1" customWidth="1"/>
    <col min="9218" max="9220" width="8.77777777777778" style="1"/>
    <col min="9221" max="9221" width="9.66666666666667" style="1" customWidth="1"/>
    <col min="9222" max="9222" width="8.77777777777778" style="1"/>
    <col min="9223" max="9223" width="10.6666666666667" style="1" customWidth="1"/>
    <col min="9224" max="9225" width="8.77777777777778" style="1"/>
    <col min="9226" max="9226" width="10.6666666666667" style="1" customWidth="1"/>
    <col min="9227" max="9228" width="8.77777777777778" style="1"/>
    <col min="9229" max="9229" width="10.6666666666667" style="1" customWidth="1"/>
    <col min="9230" max="9472" width="8.77777777777778" style="1"/>
    <col min="9473" max="9473" width="11.6666666666667" style="1" customWidth="1"/>
    <col min="9474" max="9476" width="8.77777777777778" style="1"/>
    <col min="9477" max="9477" width="9.66666666666667" style="1" customWidth="1"/>
    <col min="9478" max="9478" width="8.77777777777778" style="1"/>
    <col min="9479" max="9479" width="10.6666666666667" style="1" customWidth="1"/>
    <col min="9480" max="9481" width="8.77777777777778" style="1"/>
    <col min="9482" max="9482" width="10.6666666666667" style="1" customWidth="1"/>
    <col min="9483" max="9484" width="8.77777777777778" style="1"/>
    <col min="9485" max="9485" width="10.6666666666667" style="1" customWidth="1"/>
    <col min="9486" max="9728" width="8.77777777777778" style="1"/>
    <col min="9729" max="9729" width="11.6666666666667" style="1" customWidth="1"/>
    <col min="9730" max="9732" width="8.77777777777778" style="1"/>
    <col min="9733" max="9733" width="9.66666666666667" style="1" customWidth="1"/>
    <col min="9734" max="9734" width="8.77777777777778" style="1"/>
    <col min="9735" max="9735" width="10.6666666666667" style="1" customWidth="1"/>
    <col min="9736" max="9737" width="8.77777777777778" style="1"/>
    <col min="9738" max="9738" width="10.6666666666667" style="1" customWidth="1"/>
    <col min="9739" max="9740" width="8.77777777777778" style="1"/>
    <col min="9741" max="9741" width="10.6666666666667" style="1" customWidth="1"/>
    <col min="9742" max="9984" width="8.77777777777778" style="1"/>
    <col min="9985" max="9985" width="11.6666666666667" style="1" customWidth="1"/>
    <col min="9986" max="9988" width="8.77777777777778" style="1"/>
    <col min="9989" max="9989" width="9.66666666666667" style="1" customWidth="1"/>
    <col min="9990" max="9990" width="8.77777777777778" style="1"/>
    <col min="9991" max="9991" width="10.6666666666667" style="1" customWidth="1"/>
    <col min="9992" max="9993" width="8.77777777777778" style="1"/>
    <col min="9994" max="9994" width="10.6666666666667" style="1" customWidth="1"/>
    <col min="9995" max="9996" width="8.77777777777778" style="1"/>
    <col min="9997" max="9997" width="10.6666666666667" style="1" customWidth="1"/>
    <col min="9998" max="10240" width="8.77777777777778" style="1"/>
    <col min="10241" max="10241" width="11.6666666666667" style="1" customWidth="1"/>
    <col min="10242" max="10244" width="8.77777777777778" style="1"/>
    <col min="10245" max="10245" width="9.66666666666667" style="1" customWidth="1"/>
    <col min="10246" max="10246" width="8.77777777777778" style="1"/>
    <col min="10247" max="10247" width="10.6666666666667" style="1" customWidth="1"/>
    <col min="10248" max="10249" width="8.77777777777778" style="1"/>
    <col min="10250" max="10250" width="10.6666666666667" style="1" customWidth="1"/>
    <col min="10251" max="10252" width="8.77777777777778" style="1"/>
    <col min="10253" max="10253" width="10.6666666666667" style="1" customWidth="1"/>
    <col min="10254" max="10496" width="8.77777777777778" style="1"/>
    <col min="10497" max="10497" width="11.6666666666667" style="1" customWidth="1"/>
    <col min="10498" max="10500" width="8.77777777777778" style="1"/>
    <col min="10501" max="10501" width="9.66666666666667" style="1" customWidth="1"/>
    <col min="10502" max="10502" width="8.77777777777778" style="1"/>
    <col min="10503" max="10503" width="10.6666666666667" style="1" customWidth="1"/>
    <col min="10504" max="10505" width="8.77777777777778" style="1"/>
    <col min="10506" max="10506" width="10.6666666666667" style="1" customWidth="1"/>
    <col min="10507" max="10508" width="8.77777777777778" style="1"/>
    <col min="10509" max="10509" width="10.6666666666667" style="1" customWidth="1"/>
    <col min="10510" max="10752" width="8.77777777777778" style="1"/>
    <col min="10753" max="10753" width="11.6666666666667" style="1" customWidth="1"/>
    <col min="10754" max="10756" width="8.77777777777778" style="1"/>
    <col min="10757" max="10757" width="9.66666666666667" style="1" customWidth="1"/>
    <col min="10758" max="10758" width="8.77777777777778" style="1"/>
    <col min="10759" max="10759" width="10.6666666666667" style="1" customWidth="1"/>
    <col min="10760" max="10761" width="8.77777777777778" style="1"/>
    <col min="10762" max="10762" width="10.6666666666667" style="1" customWidth="1"/>
    <col min="10763" max="10764" width="8.77777777777778" style="1"/>
    <col min="10765" max="10765" width="10.6666666666667" style="1" customWidth="1"/>
    <col min="10766" max="11008" width="8.77777777777778" style="1"/>
    <col min="11009" max="11009" width="11.6666666666667" style="1" customWidth="1"/>
    <col min="11010" max="11012" width="8.77777777777778" style="1"/>
    <col min="11013" max="11013" width="9.66666666666667" style="1" customWidth="1"/>
    <col min="11014" max="11014" width="8.77777777777778" style="1"/>
    <col min="11015" max="11015" width="10.6666666666667" style="1" customWidth="1"/>
    <col min="11016" max="11017" width="8.77777777777778" style="1"/>
    <col min="11018" max="11018" width="10.6666666666667" style="1" customWidth="1"/>
    <col min="11019" max="11020" width="8.77777777777778" style="1"/>
    <col min="11021" max="11021" width="10.6666666666667" style="1" customWidth="1"/>
    <col min="11022" max="11264" width="8.77777777777778" style="1"/>
    <col min="11265" max="11265" width="11.6666666666667" style="1" customWidth="1"/>
    <col min="11266" max="11268" width="8.77777777777778" style="1"/>
    <col min="11269" max="11269" width="9.66666666666667" style="1" customWidth="1"/>
    <col min="11270" max="11270" width="8.77777777777778" style="1"/>
    <col min="11271" max="11271" width="10.6666666666667" style="1" customWidth="1"/>
    <col min="11272" max="11273" width="8.77777777777778" style="1"/>
    <col min="11274" max="11274" width="10.6666666666667" style="1" customWidth="1"/>
    <col min="11275" max="11276" width="8.77777777777778" style="1"/>
    <col min="11277" max="11277" width="10.6666666666667" style="1" customWidth="1"/>
    <col min="11278" max="11520" width="8.77777777777778" style="1"/>
    <col min="11521" max="11521" width="11.6666666666667" style="1" customWidth="1"/>
    <col min="11522" max="11524" width="8.77777777777778" style="1"/>
    <col min="11525" max="11525" width="9.66666666666667" style="1" customWidth="1"/>
    <col min="11526" max="11526" width="8.77777777777778" style="1"/>
    <col min="11527" max="11527" width="10.6666666666667" style="1" customWidth="1"/>
    <col min="11528" max="11529" width="8.77777777777778" style="1"/>
    <col min="11530" max="11530" width="10.6666666666667" style="1" customWidth="1"/>
    <col min="11531" max="11532" width="8.77777777777778" style="1"/>
    <col min="11533" max="11533" width="10.6666666666667" style="1" customWidth="1"/>
    <col min="11534" max="11776" width="8.77777777777778" style="1"/>
    <col min="11777" max="11777" width="11.6666666666667" style="1" customWidth="1"/>
    <col min="11778" max="11780" width="8.77777777777778" style="1"/>
    <col min="11781" max="11781" width="9.66666666666667" style="1" customWidth="1"/>
    <col min="11782" max="11782" width="8.77777777777778" style="1"/>
    <col min="11783" max="11783" width="10.6666666666667" style="1" customWidth="1"/>
    <col min="11784" max="11785" width="8.77777777777778" style="1"/>
    <col min="11786" max="11786" width="10.6666666666667" style="1" customWidth="1"/>
    <col min="11787" max="11788" width="8.77777777777778" style="1"/>
    <col min="11789" max="11789" width="10.6666666666667" style="1" customWidth="1"/>
    <col min="11790" max="12032" width="8.77777777777778" style="1"/>
    <col min="12033" max="12033" width="11.6666666666667" style="1" customWidth="1"/>
    <col min="12034" max="12036" width="8.77777777777778" style="1"/>
    <col min="12037" max="12037" width="9.66666666666667" style="1" customWidth="1"/>
    <col min="12038" max="12038" width="8.77777777777778" style="1"/>
    <col min="12039" max="12039" width="10.6666666666667" style="1" customWidth="1"/>
    <col min="12040" max="12041" width="8.77777777777778" style="1"/>
    <col min="12042" max="12042" width="10.6666666666667" style="1" customWidth="1"/>
    <col min="12043" max="12044" width="8.77777777777778" style="1"/>
    <col min="12045" max="12045" width="10.6666666666667" style="1" customWidth="1"/>
    <col min="12046" max="12288" width="8.77777777777778" style="1"/>
    <col min="12289" max="12289" width="11.6666666666667" style="1" customWidth="1"/>
    <col min="12290" max="12292" width="8.77777777777778" style="1"/>
    <col min="12293" max="12293" width="9.66666666666667" style="1" customWidth="1"/>
    <col min="12294" max="12294" width="8.77777777777778" style="1"/>
    <col min="12295" max="12295" width="10.6666666666667" style="1" customWidth="1"/>
    <col min="12296" max="12297" width="8.77777777777778" style="1"/>
    <col min="12298" max="12298" width="10.6666666666667" style="1" customWidth="1"/>
    <col min="12299" max="12300" width="8.77777777777778" style="1"/>
    <col min="12301" max="12301" width="10.6666666666667" style="1" customWidth="1"/>
    <col min="12302" max="12544" width="8.77777777777778" style="1"/>
    <col min="12545" max="12545" width="11.6666666666667" style="1" customWidth="1"/>
    <col min="12546" max="12548" width="8.77777777777778" style="1"/>
    <col min="12549" max="12549" width="9.66666666666667" style="1" customWidth="1"/>
    <col min="12550" max="12550" width="8.77777777777778" style="1"/>
    <col min="12551" max="12551" width="10.6666666666667" style="1" customWidth="1"/>
    <col min="12552" max="12553" width="8.77777777777778" style="1"/>
    <col min="12554" max="12554" width="10.6666666666667" style="1" customWidth="1"/>
    <col min="12555" max="12556" width="8.77777777777778" style="1"/>
    <col min="12557" max="12557" width="10.6666666666667" style="1" customWidth="1"/>
    <col min="12558" max="12800" width="8.77777777777778" style="1"/>
    <col min="12801" max="12801" width="11.6666666666667" style="1" customWidth="1"/>
    <col min="12802" max="12804" width="8.77777777777778" style="1"/>
    <col min="12805" max="12805" width="9.66666666666667" style="1" customWidth="1"/>
    <col min="12806" max="12806" width="8.77777777777778" style="1"/>
    <col min="12807" max="12807" width="10.6666666666667" style="1" customWidth="1"/>
    <col min="12808" max="12809" width="8.77777777777778" style="1"/>
    <col min="12810" max="12810" width="10.6666666666667" style="1" customWidth="1"/>
    <col min="12811" max="12812" width="8.77777777777778" style="1"/>
    <col min="12813" max="12813" width="10.6666666666667" style="1" customWidth="1"/>
    <col min="12814" max="13056" width="8.77777777777778" style="1"/>
    <col min="13057" max="13057" width="11.6666666666667" style="1" customWidth="1"/>
    <col min="13058" max="13060" width="8.77777777777778" style="1"/>
    <col min="13061" max="13061" width="9.66666666666667" style="1" customWidth="1"/>
    <col min="13062" max="13062" width="8.77777777777778" style="1"/>
    <col min="13063" max="13063" width="10.6666666666667" style="1" customWidth="1"/>
    <col min="13064" max="13065" width="8.77777777777778" style="1"/>
    <col min="13066" max="13066" width="10.6666666666667" style="1" customWidth="1"/>
    <col min="13067" max="13068" width="8.77777777777778" style="1"/>
    <col min="13069" max="13069" width="10.6666666666667" style="1" customWidth="1"/>
    <col min="13070" max="13312" width="8.77777777777778" style="1"/>
    <col min="13313" max="13313" width="11.6666666666667" style="1" customWidth="1"/>
    <col min="13314" max="13316" width="8.77777777777778" style="1"/>
    <col min="13317" max="13317" width="9.66666666666667" style="1" customWidth="1"/>
    <col min="13318" max="13318" width="8.77777777777778" style="1"/>
    <col min="13319" max="13319" width="10.6666666666667" style="1" customWidth="1"/>
    <col min="13320" max="13321" width="8.77777777777778" style="1"/>
    <col min="13322" max="13322" width="10.6666666666667" style="1" customWidth="1"/>
    <col min="13323" max="13324" width="8.77777777777778" style="1"/>
    <col min="13325" max="13325" width="10.6666666666667" style="1" customWidth="1"/>
    <col min="13326" max="13568" width="8.77777777777778" style="1"/>
    <col min="13569" max="13569" width="11.6666666666667" style="1" customWidth="1"/>
    <col min="13570" max="13572" width="8.77777777777778" style="1"/>
    <col min="13573" max="13573" width="9.66666666666667" style="1" customWidth="1"/>
    <col min="13574" max="13574" width="8.77777777777778" style="1"/>
    <col min="13575" max="13575" width="10.6666666666667" style="1" customWidth="1"/>
    <col min="13576" max="13577" width="8.77777777777778" style="1"/>
    <col min="13578" max="13578" width="10.6666666666667" style="1" customWidth="1"/>
    <col min="13579" max="13580" width="8.77777777777778" style="1"/>
    <col min="13581" max="13581" width="10.6666666666667" style="1" customWidth="1"/>
    <col min="13582" max="13824" width="8.77777777777778" style="1"/>
    <col min="13825" max="13825" width="11.6666666666667" style="1" customWidth="1"/>
    <col min="13826" max="13828" width="8.77777777777778" style="1"/>
    <col min="13829" max="13829" width="9.66666666666667" style="1" customWidth="1"/>
    <col min="13830" max="13830" width="8.77777777777778" style="1"/>
    <col min="13831" max="13831" width="10.6666666666667" style="1" customWidth="1"/>
    <col min="13832" max="13833" width="8.77777777777778" style="1"/>
    <col min="13834" max="13834" width="10.6666666666667" style="1" customWidth="1"/>
    <col min="13835" max="13836" width="8.77777777777778" style="1"/>
    <col min="13837" max="13837" width="10.6666666666667" style="1" customWidth="1"/>
    <col min="13838" max="14080" width="8.77777777777778" style="1"/>
    <col min="14081" max="14081" width="11.6666666666667" style="1" customWidth="1"/>
    <col min="14082" max="14084" width="8.77777777777778" style="1"/>
    <col min="14085" max="14085" width="9.66666666666667" style="1" customWidth="1"/>
    <col min="14086" max="14086" width="8.77777777777778" style="1"/>
    <col min="14087" max="14087" width="10.6666666666667" style="1" customWidth="1"/>
    <col min="14088" max="14089" width="8.77777777777778" style="1"/>
    <col min="14090" max="14090" width="10.6666666666667" style="1" customWidth="1"/>
    <col min="14091" max="14092" width="8.77777777777778" style="1"/>
    <col min="14093" max="14093" width="10.6666666666667" style="1" customWidth="1"/>
    <col min="14094" max="14336" width="8.77777777777778" style="1"/>
    <col min="14337" max="14337" width="11.6666666666667" style="1" customWidth="1"/>
    <col min="14338" max="14340" width="8.77777777777778" style="1"/>
    <col min="14341" max="14341" width="9.66666666666667" style="1" customWidth="1"/>
    <col min="14342" max="14342" width="8.77777777777778" style="1"/>
    <col min="14343" max="14343" width="10.6666666666667" style="1" customWidth="1"/>
    <col min="14344" max="14345" width="8.77777777777778" style="1"/>
    <col min="14346" max="14346" width="10.6666666666667" style="1" customWidth="1"/>
    <col min="14347" max="14348" width="8.77777777777778" style="1"/>
    <col min="14349" max="14349" width="10.6666666666667" style="1" customWidth="1"/>
    <col min="14350" max="14592" width="8.77777777777778" style="1"/>
    <col min="14593" max="14593" width="11.6666666666667" style="1" customWidth="1"/>
    <col min="14594" max="14596" width="8.77777777777778" style="1"/>
    <col min="14597" max="14597" width="9.66666666666667" style="1" customWidth="1"/>
    <col min="14598" max="14598" width="8.77777777777778" style="1"/>
    <col min="14599" max="14599" width="10.6666666666667" style="1" customWidth="1"/>
    <col min="14600" max="14601" width="8.77777777777778" style="1"/>
    <col min="14602" max="14602" width="10.6666666666667" style="1" customWidth="1"/>
    <col min="14603" max="14604" width="8.77777777777778" style="1"/>
    <col min="14605" max="14605" width="10.6666666666667" style="1" customWidth="1"/>
    <col min="14606" max="14848" width="8.77777777777778" style="1"/>
    <col min="14849" max="14849" width="11.6666666666667" style="1" customWidth="1"/>
    <col min="14850" max="14852" width="8.77777777777778" style="1"/>
    <col min="14853" max="14853" width="9.66666666666667" style="1" customWidth="1"/>
    <col min="14854" max="14854" width="8.77777777777778" style="1"/>
    <col min="14855" max="14855" width="10.6666666666667" style="1" customWidth="1"/>
    <col min="14856" max="14857" width="8.77777777777778" style="1"/>
    <col min="14858" max="14858" width="10.6666666666667" style="1" customWidth="1"/>
    <col min="14859" max="14860" width="8.77777777777778" style="1"/>
    <col min="14861" max="14861" width="10.6666666666667" style="1" customWidth="1"/>
    <col min="14862" max="15104" width="8.77777777777778" style="1"/>
    <col min="15105" max="15105" width="11.6666666666667" style="1" customWidth="1"/>
    <col min="15106" max="15108" width="8.77777777777778" style="1"/>
    <col min="15109" max="15109" width="9.66666666666667" style="1" customWidth="1"/>
    <col min="15110" max="15110" width="8.77777777777778" style="1"/>
    <col min="15111" max="15111" width="10.6666666666667" style="1" customWidth="1"/>
    <col min="15112" max="15113" width="8.77777777777778" style="1"/>
    <col min="15114" max="15114" width="10.6666666666667" style="1" customWidth="1"/>
    <col min="15115" max="15116" width="8.77777777777778" style="1"/>
    <col min="15117" max="15117" width="10.6666666666667" style="1" customWidth="1"/>
    <col min="15118" max="15360" width="8.77777777777778" style="1"/>
    <col min="15361" max="15361" width="11.6666666666667" style="1" customWidth="1"/>
    <col min="15362" max="15364" width="8.77777777777778" style="1"/>
    <col min="15365" max="15365" width="9.66666666666667" style="1" customWidth="1"/>
    <col min="15366" max="15366" width="8.77777777777778" style="1"/>
    <col min="15367" max="15367" width="10.6666666666667" style="1" customWidth="1"/>
    <col min="15368" max="15369" width="8.77777777777778" style="1"/>
    <col min="15370" max="15370" width="10.6666666666667" style="1" customWidth="1"/>
    <col min="15371" max="15372" width="8.77777777777778" style="1"/>
    <col min="15373" max="15373" width="10.6666666666667" style="1" customWidth="1"/>
    <col min="15374" max="15616" width="8.77777777777778" style="1"/>
    <col min="15617" max="15617" width="11.6666666666667" style="1" customWidth="1"/>
    <col min="15618" max="15620" width="8.77777777777778" style="1"/>
    <col min="15621" max="15621" width="9.66666666666667" style="1" customWidth="1"/>
    <col min="15622" max="15622" width="8.77777777777778" style="1"/>
    <col min="15623" max="15623" width="10.6666666666667" style="1" customWidth="1"/>
    <col min="15624" max="15625" width="8.77777777777778" style="1"/>
    <col min="15626" max="15626" width="10.6666666666667" style="1" customWidth="1"/>
    <col min="15627" max="15628" width="8.77777777777778" style="1"/>
    <col min="15629" max="15629" width="10.6666666666667" style="1" customWidth="1"/>
    <col min="15630" max="15872" width="8.77777777777778" style="1"/>
    <col min="15873" max="15873" width="11.6666666666667" style="1" customWidth="1"/>
    <col min="15874" max="15876" width="8.77777777777778" style="1"/>
    <col min="15877" max="15877" width="9.66666666666667" style="1" customWidth="1"/>
    <col min="15878" max="15878" width="8.77777777777778" style="1"/>
    <col min="15879" max="15879" width="10.6666666666667" style="1" customWidth="1"/>
    <col min="15880" max="15881" width="8.77777777777778" style="1"/>
    <col min="15882" max="15882" width="10.6666666666667" style="1" customWidth="1"/>
    <col min="15883" max="15884" width="8.77777777777778" style="1"/>
    <col min="15885" max="15885" width="10.6666666666667" style="1" customWidth="1"/>
    <col min="15886" max="16128" width="8.77777777777778" style="1"/>
    <col min="16129" max="16129" width="11.6666666666667" style="1" customWidth="1"/>
    <col min="16130" max="16132" width="8.77777777777778" style="1"/>
    <col min="16133" max="16133" width="9.66666666666667" style="1" customWidth="1"/>
    <col min="16134" max="16134" width="8.77777777777778" style="1"/>
    <col min="16135" max="16135" width="10.6666666666667" style="1" customWidth="1"/>
    <col min="16136" max="16137" width="8.77777777777778" style="1"/>
    <col min="16138" max="16138" width="10.6666666666667" style="1" customWidth="1"/>
    <col min="16139" max="16140" width="8.77777777777778" style="1"/>
    <col min="16141" max="16141" width="10.6666666666667" style="1" customWidth="1"/>
    <col min="16142" max="16384" width="8.77777777777778" style="1"/>
  </cols>
  <sheetData>
    <row r="1" spans="1:27">
      <c r="A1" s="2" t="s">
        <v>0</v>
      </c>
    </row>
    <row r="3" spans="1:27">
      <c r="A3" s="12" t="s">
        <v>1</v>
      </c>
      <c r="B3" s="12" t="s">
        <v>2</v>
      </c>
      <c r="C3" s="12" t="s">
        <v>3</v>
      </c>
      <c r="D3" s="12"/>
      <c r="E3" s="2"/>
      <c r="G3" s="12"/>
      <c r="P3" s="3"/>
      <c r="Q3" s="3"/>
    </row>
    <row r="4" spans="1:27">
      <c r="A4" s="1">
        <v>1</v>
      </c>
      <c r="B4" s="19">
        <v>450</v>
      </c>
      <c r="C4" s="19">
        <v>45</v>
      </c>
      <c r="P4" s="3"/>
      <c r="Q4" s="3"/>
      <c r="AA4" s="20" t="s">
        <v>4</v>
      </c>
    </row>
    <row r="5" spans="1:27">
      <c r="A5" s="1">
        <v>2</v>
      </c>
      <c r="B5" s="19">
        <v>300</v>
      </c>
      <c r="C5" s="19">
        <v>103</v>
      </c>
      <c r="P5" s="3"/>
      <c r="Q5" s="3"/>
    </row>
    <row r="6" spans="1:27">
      <c r="A6" s="1">
        <v>3</v>
      </c>
      <c r="B6" s="19">
        <v>440</v>
      </c>
      <c r="C6" s="19">
        <v>49</v>
      </c>
      <c r="P6" s="3"/>
      <c r="Q6" s="3"/>
    </row>
    <row r="7" spans="1:27">
      <c r="A7" s="1">
        <v>4</v>
      </c>
      <c r="B7" s="19">
        <v>360</v>
      </c>
      <c r="C7" s="19">
        <v>86</v>
      </c>
      <c r="P7" s="3"/>
      <c r="Q7" s="3"/>
    </row>
    <row r="8" spans="1:27">
      <c r="A8" s="1">
        <v>5</v>
      </c>
      <c r="B8" s="19">
        <v>290</v>
      </c>
      <c r="C8" s="19">
        <v>125</v>
      </c>
      <c r="P8" s="3"/>
      <c r="Q8" s="3"/>
    </row>
    <row r="9" spans="1:27">
      <c r="A9" s="1">
        <v>6</v>
      </c>
      <c r="B9" s="19">
        <v>450</v>
      </c>
      <c r="C9" s="19">
        <v>52</v>
      </c>
      <c r="P9" s="3"/>
      <c r="Q9" s="3"/>
    </row>
    <row r="10" spans="1:27">
      <c r="A10" s="1">
        <v>7</v>
      </c>
      <c r="B10" s="19">
        <v>340</v>
      </c>
      <c r="C10" s="19">
        <v>87</v>
      </c>
      <c r="P10" s="3"/>
      <c r="Q10" s="3"/>
    </row>
    <row r="11" spans="1:27">
      <c r="A11" s="1">
        <v>8</v>
      </c>
      <c r="B11" s="19">
        <v>370</v>
      </c>
      <c r="C11" s="19">
        <v>68</v>
      </c>
      <c r="P11" s="3"/>
      <c r="Q11" s="3"/>
    </row>
    <row r="12" spans="1:27">
      <c r="A12" s="1">
        <v>9</v>
      </c>
      <c r="B12" s="19">
        <v>500</v>
      </c>
      <c r="C12" s="19">
        <v>45</v>
      </c>
      <c r="P12" s="3"/>
      <c r="Q12" s="3"/>
    </row>
    <row r="13" spans="1:27">
      <c r="A13" s="1">
        <v>10</v>
      </c>
      <c r="B13" s="19">
        <v>490</v>
      </c>
      <c r="C13" s="19">
        <v>44</v>
      </c>
      <c r="P13" s="3"/>
      <c r="Q13" s="3"/>
    </row>
    <row r="14" spans="1:27">
      <c r="A14" s="1">
        <v>11</v>
      </c>
      <c r="B14" s="19">
        <v>430</v>
      </c>
      <c r="C14" s="19">
        <v>58</v>
      </c>
      <c r="P14" s="3"/>
      <c r="Q14" s="3"/>
    </row>
    <row r="15" spans="1:27">
      <c r="A15" s="1">
        <v>12</v>
      </c>
      <c r="B15" s="19">
        <v>390</v>
      </c>
      <c r="C15" s="19">
        <v>68</v>
      </c>
      <c r="P15" s="3"/>
      <c r="Q15" s="3"/>
    </row>
    <row r="16" spans="1:27">
      <c r="P16" s="3"/>
      <c r="Q16" s="3"/>
    </row>
    <row r="17" spans="1:27">
      <c r="A17" s="21" t="s">
        <v>5</v>
      </c>
      <c r="B17" s="12"/>
      <c r="E17" s="22" t="s">
        <v>6</v>
      </c>
      <c r="F17" s="23"/>
      <c r="G17" s="24"/>
      <c r="H17" s="22" t="s">
        <v>7</v>
      </c>
      <c r="I17" s="23"/>
      <c r="J17" s="24"/>
      <c r="P17" s="3"/>
      <c r="Q17" s="3"/>
    </row>
    <row r="18" spans="1:27">
      <c r="A18" s="1" t="s">
        <v>8</v>
      </c>
      <c r="E18" s="12" t="s">
        <v>8</v>
      </c>
      <c r="F18" s="12" t="s">
        <v>9</v>
      </c>
      <c r="G18" s="12" t="s">
        <v>10</v>
      </c>
      <c r="H18" s="12" t="s">
        <v>8</v>
      </c>
      <c r="I18" s="12" t="s">
        <v>9</v>
      </c>
      <c r="J18" s="12" t="s">
        <v>10</v>
      </c>
      <c r="P18" s="3"/>
      <c r="Q18" s="3"/>
    </row>
    <row r="19" spans="1:27">
      <c r="A19" s="25" t="s">
        <v>11</v>
      </c>
      <c r="B19" s="26">
        <v>211.31467</v>
      </c>
      <c r="E19" s="27">
        <f>$B$19+$B$20*B4</f>
        <v>51.73117</v>
      </c>
      <c r="F19" s="27">
        <f>$B$22*B4^$B$23</f>
        <v>50.8147006486725</v>
      </c>
      <c r="G19" s="27">
        <f>$B$25*EXP($B$26*B4)</f>
        <v>51.2020573325247</v>
      </c>
      <c r="H19" s="28">
        <f>ABS($C4-E19)/$C4</f>
        <v>0.149581555555556</v>
      </c>
      <c r="I19" s="28">
        <f t="shared" ref="I19:J19" si="0">ABS($C4-F19)/$C4</f>
        <v>0.1292155699705</v>
      </c>
      <c r="J19" s="28">
        <f t="shared" si="0"/>
        <v>0.137823496278327</v>
      </c>
      <c r="P19" s="3"/>
      <c r="Q19" s="3"/>
      <c r="AA19" s="20" t="s">
        <v>12</v>
      </c>
    </row>
    <row r="20" ht="14.55" customHeight="1" spans="1:27">
      <c r="A20" s="25" t="s">
        <v>13</v>
      </c>
      <c r="B20" s="26">
        <v>-0.35463</v>
      </c>
      <c r="E20" s="27">
        <f t="shared" ref="E20:E30" si="1">$B$19+$B$20*B5</f>
        <v>104.92567</v>
      </c>
      <c r="F20" s="27">
        <f t="shared" ref="F20:F30" si="2">$B$22*B5^$B$23</f>
        <v>110.153400202049</v>
      </c>
      <c r="G20" s="27">
        <f t="shared" ref="G20:G30" si="3">$B$25*EXP($B$26*B5)</f>
        <v>106.941260187686</v>
      </c>
      <c r="H20" s="28">
        <f t="shared" ref="H20:H30" si="4">ABS($C5-E20)/$C5</f>
        <v>0.0186958252427186</v>
      </c>
      <c r="I20" s="28">
        <f t="shared" ref="I20:I30" si="5">ABS($C5-F20)/$C5</f>
        <v>0.0694504873985341</v>
      </c>
      <c r="J20" s="28">
        <f t="shared" ref="J20:J30" si="6">ABS($C5-G20)/$C5</f>
        <v>0.0382646620163692</v>
      </c>
      <c r="P20" s="3"/>
      <c r="Q20" s="3"/>
    </row>
    <row r="21" spans="1:27">
      <c r="A21" s="1" t="s">
        <v>9</v>
      </c>
      <c r="B21"/>
      <c r="E21" s="27">
        <f t="shared" si="1"/>
        <v>55.27747</v>
      </c>
      <c r="F21" s="27">
        <f t="shared" si="2"/>
        <v>53.0411101168416</v>
      </c>
      <c r="G21" s="27">
        <f t="shared" si="3"/>
        <v>53.7788202235123</v>
      </c>
      <c r="H21" s="28">
        <f t="shared" si="4"/>
        <v>0.128111632653061</v>
      </c>
      <c r="I21" s="28">
        <f t="shared" si="5"/>
        <v>0.082471635037583</v>
      </c>
      <c r="J21" s="28">
        <f t="shared" si="6"/>
        <v>0.0975269433369865</v>
      </c>
      <c r="P21" s="3"/>
      <c r="Q21" s="3"/>
    </row>
    <row r="22" ht="14.55" customHeight="1" spans="1:27">
      <c r="A22" s="25" t="s">
        <v>14</v>
      </c>
      <c r="B22" s="29">
        <v>5871064.20311</v>
      </c>
      <c r="E22" s="27">
        <f t="shared" si="1"/>
        <v>83.64787</v>
      </c>
      <c r="F22" s="27">
        <f t="shared" si="2"/>
        <v>77.7872132068881</v>
      </c>
      <c r="G22" s="27">
        <f t="shared" si="3"/>
        <v>79.6530010421691</v>
      </c>
      <c r="H22" s="28">
        <f t="shared" si="4"/>
        <v>0.0273503488372092</v>
      </c>
      <c r="I22" s="28">
        <f t="shared" si="5"/>
        <v>0.0954975208501381</v>
      </c>
      <c r="J22" s="28">
        <f t="shared" si="6"/>
        <v>0.0738023134631504</v>
      </c>
      <c r="P22" s="3"/>
      <c r="Q22" s="3"/>
    </row>
    <row r="23" spans="1:27">
      <c r="A23" s="25" t="s">
        <v>15</v>
      </c>
      <c r="B23" s="26">
        <v>-1.90815</v>
      </c>
      <c r="E23" s="27">
        <f t="shared" si="1"/>
        <v>108.47197</v>
      </c>
      <c r="F23" s="27">
        <f t="shared" si="2"/>
        <v>117.514671243414</v>
      </c>
      <c r="G23" s="27">
        <f t="shared" si="3"/>
        <v>112.323119533249</v>
      </c>
      <c r="H23" s="28">
        <f t="shared" si="4"/>
        <v>0.13222424</v>
      </c>
      <c r="I23" s="28">
        <f t="shared" si="5"/>
        <v>0.059882630052687</v>
      </c>
      <c r="J23" s="28">
        <f t="shared" si="6"/>
        <v>0.101415043734011</v>
      </c>
      <c r="P23" s="3"/>
      <c r="Q23" s="3"/>
    </row>
    <row r="24" spans="1:27">
      <c r="A24" s="1" t="s">
        <v>10</v>
      </c>
      <c r="B24"/>
      <c r="E24" s="27">
        <f t="shared" si="1"/>
        <v>51.73117</v>
      </c>
      <c r="F24" s="27">
        <f t="shared" si="2"/>
        <v>50.8147006486725</v>
      </c>
      <c r="G24" s="27">
        <f t="shared" si="3"/>
        <v>51.2020573325247</v>
      </c>
      <c r="H24" s="28">
        <f t="shared" si="4"/>
        <v>0.00516980769230731</v>
      </c>
      <c r="I24" s="28">
        <f t="shared" si="5"/>
        <v>0.0227942182947598</v>
      </c>
      <c r="J24" s="28">
        <f t="shared" si="6"/>
        <v>0.0153450512976019</v>
      </c>
    </row>
    <row r="25" ht="14.55" customHeight="1" spans="1:27">
      <c r="A25" s="25" t="s">
        <v>14</v>
      </c>
      <c r="B25" s="26">
        <v>466.51012</v>
      </c>
      <c r="E25" s="27">
        <f t="shared" si="1"/>
        <v>90.74047</v>
      </c>
      <c r="F25" s="27">
        <f t="shared" si="2"/>
        <v>86.7511686649313</v>
      </c>
      <c r="G25" s="27">
        <f t="shared" si="3"/>
        <v>87.8718684880991</v>
      </c>
      <c r="H25" s="28">
        <f t="shared" si="4"/>
        <v>0.042993908045977</v>
      </c>
      <c r="I25" s="28">
        <f t="shared" si="5"/>
        <v>0.00286013028814599</v>
      </c>
      <c r="J25" s="28">
        <f t="shared" si="6"/>
        <v>0.0100214768747021</v>
      </c>
    </row>
    <row r="26" spans="1:27">
      <c r="A26" s="25" t="s">
        <v>15</v>
      </c>
      <c r="B26" s="26">
        <v>-0.00491</v>
      </c>
      <c r="E26" s="27">
        <f t="shared" si="1"/>
        <v>80.10157</v>
      </c>
      <c r="F26" s="27">
        <f t="shared" si="2"/>
        <v>73.824873226516</v>
      </c>
      <c r="G26" s="27">
        <f t="shared" si="3"/>
        <v>75.8365004869649</v>
      </c>
      <c r="H26" s="28">
        <f t="shared" si="4"/>
        <v>0.177964264705883</v>
      </c>
      <c r="I26" s="28">
        <f t="shared" si="5"/>
        <v>0.0856599003899412</v>
      </c>
      <c r="J26" s="28">
        <f t="shared" si="6"/>
        <v>0.115242654220072</v>
      </c>
    </row>
    <row r="27" spans="1:27">
      <c r="E27" s="27">
        <f t="shared" si="1"/>
        <v>33.99967</v>
      </c>
      <c r="F27" s="27">
        <f t="shared" si="2"/>
        <v>41.5601604794984</v>
      </c>
      <c r="G27" s="27">
        <f t="shared" si="3"/>
        <v>40.0560496088422</v>
      </c>
      <c r="H27" s="28">
        <f t="shared" si="4"/>
        <v>0.244451777777778</v>
      </c>
      <c r="I27" s="28">
        <f t="shared" si="5"/>
        <v>0.0764408782333698</v>
      </c>
      <c r="J27" s="28">
        <f t="shared" si="6"/>
        <v>0.109865564247951</v>
      </c>
    </row>
    <row r="28" spans="1:27">
      <c r="E28" s="27">
        <f t="shared" si="1"/>
        <v>37.54597</v>
      </c>
      <c r="F28" s="27">
        <f t="shared" si="2"/>
        <v>43.1935778614598</v>
      </c>
      <c r="G28" s="27">
        <f t="shared" si="3"/>
        <v>42.0718854476506</v>
      </c>
      <c r="H28" s="28">
        <f t="shared" si="4"/>
        <v>0.1466825</v>
      </c>
      <c r="I28" s="28">
        <f t="shared" si="5"/>
        <v>0.0183277758759131</v>
      </c>
      <c r="J28" s="28">
        <f t="shared" si="6"/>
        <v>0.043820785280669</v>
      </c>
    </row>
    <row r="29" spans="1:27">
      <c r="E29" s="27">
        <f t="shared" si="1"/>
        <v>58.82377</v>
      </c>
      <c r="F29" s="27">
        <f t="shared" si="2"/>
        <v>55.4196777463233</v>
      </c>
      <c r="G29" s="27">
        <f t="shared" si="3"/>
        <v>56.4852596810733</v>
      </c>
      <c r="H29" s="28">
        <f t="shared" si="4"/>
        <v>0.0142029310344827</v>
      </c>
      <c r="I29" s="28">
        <f t="shared" si="5"/>
        <v>0.0444883147185638</v>
      </c>
      <c r="J29" s="28">
        <f t="shared" si="6"/>
        <v>0.0261162123952881</v>
      </c>
    </row>
    <row r="30" spans="1:27">
      <c r="E30" s="27">
        <f t="shared" si="1"/>
        <v>73.00897</v>
      </c>
      <c r="F30" s="27">
        <f t="shared" si="2"/>
        <v>66.7693117712614</v>
      </c>
      <c r="G30" s="27">
        <f t="shared" si="3"/>
        <v>68.7433299900841</v>
      </c>
      <c r="H30" s="28">
        <f t="shared" si="4"/>
        <v>0.0736613235294118</v>
      </c>
      <c r="I30" s="28">
        <f t="shared" si="5"/>
        <v>0.01809835630498</v>
      </c>
      <c r="J30" s="28">
        <f t="shared" si="6"/>
        <v>0.0109313233835902</v>
      </c>
    </row>
    <row r="31" spans="1:27">
      <c r="H31"/>
      <c r="I31"/>
      <c r="J31"/>
    </row>
    <row r="32" spans="1:27">
      <c r="G32" s="30" t="s">
        <v>16</v>
      </c>
      <c r="H32" s="31">
        <f>AVERAGE(H19:H30)</f>
        <v>0.0967575095895319</v>
      </c>
      <c r="I32" s="31">
        <f t="shared" ref="I32:J32" si="7">AVERAGE(I19:I30)</f>
        <v>0.0587656181179263</v>
      </c>
      <c r="J32" s="31">
        <f t="shared" si="7"/>
        <v>0.0650146272107265</v>
      </c>
    </row>
    <row r="37" spans="27:27">
      <c r="AA37" s="20" t="s">
        <v>17</v>
      </c>
    </row>
  </sheetData>
  <mergeCells count="2">
    <mergeCell ref="E17:G17"/>
    <mergeCell ref="H17:J17"/>
  </mergeCells>
  <printOptions headings="1" gridLines="1"/>
  <pageMargins left="0.75" right="0.75" top="1" bottom="1" header="0.5" footer="0.5"/>
  <pageSetup paperSize="1" scale="79" orientation="portrait"/>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J168"/>
  <sheetViews>
    <sheetView workbookViewId="0">
      <selection activeCell="A1" sqref="A1"/>
    </sheetView>
  </sheetViews>
  <sheetFormatPr defaultColWidth="8.77777777777778" defaultRowHeight="14.4"/>
  <cols>
    <col min="1" max="1" width="24.4444444444444" style="1" customWidth="1"/>
    <col min="2" max="2" width="12" style="1" customWidth="1"/>
    <col min="3" max="4" width="11" style="1" customWidth="1"/>
    <col min="5" max="6" width="11.6666666666667" style="1" customWidth="1"/>
    <col min="7" max="7" width="17.6666666666667" style="1" customWidth="1"/>
    <col min="8" max="10" width="11.6666666666667" style="1" customWidth="1"/>
    <col min="11" max="256" width="8.77777777777778" style="1"/>
    <col min="257" max="257" width="21.3333333333333" style="1" customWidth="1"/>
    <col min="258" max="260" width="8.77777777777778" style="1"/>
    <col min="261" max="261" width="14.7777777777778" style="1" customWidth="1"/>
    <col min="262" max="512" width="8.77777777777778" style="1"/>
    <col min="513" max="513" width="21.3333333333333" style="1" customWidth="1"/>
    <col min="514" max="516" width="8.77777777777778" style="1"/>
    <col min="517" max="517" width="14.7777777777778" style="1" customWidth="1"/>
    <col min="518" max="768" width="8.77777777777778" style="1"/>
    <col min="769" max="769" width="21.3333333333333" style="1" customWidth="1"/>
    <col min="770" max="772" width="8.77777777777778" style="1"/>
    <col min="773" max="773" width="14.7777777777778" style="1" customWidth="1"/>
    <col min="774" max="1024" width="8.77777777777778" style="1"/>
    <col min="1025" max="1025" width="21.3333333333333" style="1" customWidth="1"/>
    <col min="1026" max="1028" width="8.77777777777778" style="1"/>
    <col min="1029" max="1029" width="14.7777777777778" style="1" customWidth="1"/>
    <col min="1030" max="1280" width="8.77777777777778" style="1"/>
    <col min="1281" max="1281" width="21.3333333333333" style="1" customWidth="1"/>
    <col min="1282" max="1284" width="8.77777777777778" style="1"/>
    <col min="1285" max="1285" width="14.7777777777778" style="1" customWidth="1"/>
    <col min="1286" max="1536" width="8.77777777777778" style="1"/>
    <col min="1537" max="1537" width="21.3333333333333" style="1" customWidth="1"/>
    <col min="1538" max="1540" width="8.77777777777778" style="1"/>
    <col min="1541" max="1541" width="14.7777777777778" style="1" customWidth="1"/>
    <col min="1542" max="1792" width="8.77777777777778" style="1"/>
    <col min="1793" max="1793" width="21.3333333333333" style="1" customWidth="1"/>
    <col min="1794" max="1796" width="8.77777777777778" style="1"/>
    <col min="1797" max="1797" width="14.7777777777778" style="1" customWidth="1"/>
    <col min="1798" max="2048" width="8.77777777777778" style="1"/>
    <col min="2049" max="2049" width="21.3333333333333" style="1" customWidth="1"/>
    <col min="2050" max="2052" width="8.77777777777778" style="1"/>
    <col min="2053" max="2053" width="14.7777777777778" style="1" customWidth="1"/>
    <col min="2054" max="2304" width="8.77777777777778" style="1"/>
    <col min="2305" max="2305" width="21.3333333333333" style="1" customWidth="1"/>
    <col min="2306" max="2308" width="8.77777777777778" style="1"/>
    <col min="2309" max="2309" width="14.7777777777778" style="1" customWidth="1"/>
    <col min="2310" max="2560" width="8.77777777777778" style="1"/>
    <col min="2561" max="2561" width="21.3333333333333" style="1" customWidth="1"/>
    <col min="2562" max="2564" width="8.77777777777778" style="1"/>
    <col min="2565" max="2565" width="14.7777777777778" style="1" customWidth="1"/>
    <col min="2566" max="2816" width="8.77777777777778" style="1"/>
    <col min="2817" max="2817" width="21.3333333333333" style="1" customWidth="1"/>
    <col min="2818" max="2820" width="8.77777777777778" style="1"/>
    <col min="2821" max="2821" width="14.7777777777778" style="1" customWidth="1"/>
    <col min="2822" max="3072" width="8.77777777777778" style="1"/>
    <col min="3073" max="3073" width="21.3333333333333" style="1" customWidth="1"/>
    <col min="3074" max="3076" width="8.77777777777778" style="1"/>
    <col min="3077" max="3077" width="14.7777777777778" style="1" customWidth="1"/>
    <col min="3078" max="3328" width="8.77777777777778" style="1"/>
    <col min="3329" max="3329" width="21.3333333333333" style="1" customWidth="1"/>
    <col min="3330" max="3332" width="8.77777777777778" style="1"/>
    <col min="3333" max="3333" width="14.7777777777778" style="1" customWidth="1"/>
    <col min="3334" max="3584" width="8.77777777777778" style="1"/>
    <col min="3585" max="3585" width="21.3333333333333" style="1" customWidth="1"/>
    <col min="3586" max="3588" width="8.77777777777778" style="1"/>
    <col min="3589" max="3589" width="14.7777777777778" style="1" customWidth="1"/>
    <col min="3590" max="3840" width="8.77777777777778" style="1"/>
    <col min="3841" max="3841" width="21.3333333333333" style="1" customWidth="1"/>
    <col min="3842" max="3844" width="8.77777777777778" style="1"/>
    <col min="3845" max="3845" width="14.7777777777778" style="1" customWidth="1"/>
    <col min="3846" max="4096" width="8.77777777777778" style="1"/>
    <col min="4097" max="4097" width="21.3333333333333" style="1" customWidth="1"/>
    <col min="4098" max="4100" width="8.77777777777778" style="1"/>
    <col min="4101" max="4101" width="14.7777777777778" style="1" customWidth="1"/>
    <col min="4102" max="4352" width="8.77777777777778" style="1"/>
    <col min="4353" max="4353" width="21.3333333333333" style="1" customWidth="1"/>
    <col min="4354" max="4356" width="8.77777777777778" style="1"/>
    <col min="4357" max="4357" width="14.7777777777778" style="1" customWidth="1"/>
    <col min="4358" max="4608" width="8.77777777777778" style="1"/>
    <col min="4609" max="4609" width="21.3333333333333" style="1" customWidth="1"/>
    <col min="4610" max="4612" width="8.77777777777778" style="1"/>
    <col min="4613" max="4613" width="14.7777777777778" style="1" customWidth="1"/>
    <col min="4614" max="4864" width="8.77777777777778" style="1"/>
    <col min="4865" max="4865" width="21.3333333333333" style="1" customWidth="1"/>
    <col min="4866" max="4868" width="8.77777777777778" style="1"/>
    <col min="4869" max="4869" width="14.7777777777778" style="1" customWidth="1"/>
    <col min="4870" max="5120" width="8.77777777777778" style="1"/>
    <col min="5121" max="5121" width="21.3333333333333" style="1" customWidth="1"/>
    <col min="5122" max="5124" width="8.77777777777778" style="1"/>
    <col min="5125" max="5125" width="14.7777777777778" style="1" customWidth="1"/>
    <col min="5126" max="5376" width="8.77777777777778" style="1"/>
    <col min="5377" max="5377" width="21.3333333333333" style="1" customWidth="1"/>
    <col min="5378" max="5380" width="8.77777777777778" style="1"/>
    <col min="5381" max="5381" width="14.7777777777778" style="1" customWidth="1"/>
    <col min="5382" max="5632" width="8.77777777777778" style="1"/>
    <col min="5633" max="5633" width="21.3333333333333" style="1" customWidth="1"/>
    <col min="5634" max="5636" width="8.77777777777778" style="1"/>
    <col min="5637" max="5637" width="14.7777777777778" style="1" customWidth="1"/>
    <col min="5638" max="5888" width="8.77777777777778" style="1"/>
    <col min="5889" max="5889" width="21.3333333333333" style="1" customWidth="1"/>
    <col min="5890" max="5892" width="8.77777777777778" style="1"/>
    <col min="5893" max="5893" width="14.7777777777778" style="1" customWidth="1"/>
    <col min="5894" max="6144" width="8.77777777777778" style="1"/>
    <col min="6145" max="6145" width="21.3333333333333" style="1" customWidth="1"/>
    <col min="6146" max="6148" width="8.77777777777778" style="1"/>
    <col min="6149" max="6149" width="14.7777777777778" style="1" customWidth="1"/>
    <col min="6150" max="6400" width="8.77777777777778" style="1"/>
    <col min="6401" max="6401" width="21.3333333333333" style="1" customWidth="1"/>
    <col min="6402" max="6404" width="8.77777777777778" style="1"/>
    <col min="6405" max="6405" width="14.7777777777778" style="1" customWidth="1"/>
    <col min="6406" max="6656" width="8.77777777777778" style="1"/>
    <col min="6657" max="6657" width="21.3333333333333" style="1" customWidth="1"/>
    <col min="6658" max="6660" width="8.77777777777778" style="1"/>
    <col min="6661" max="6661" width="14.7777777777778" style="1" customWidth="1"/>
    <col min="6662" max="6912" width="8.77777777777778" style="1"/>
    <col min="6913" max="6913" width="21.3333333333333" style="1" customWidth="1"/>
    <col min="6914" max="6916" width="8.77777777777778" style="1"/>
    <col min="6917" max="6917" width="14.7777777777778" style="1" customWidth="1"/>
    <col min="6918" max="7168" width="8.77777777777778" style="1"/>
    <col min="7169" max="7169" width="21.3333333333333" style="1" customWidth="1"/>
    <col min="7170" max="7172" width="8.77777777777778" style="1"/>
    <col min="7173" max="7173" width="14.7777777777778" style="1" customWidth="1"/>
    <col min="7174" max="7424" width="8.77777777777778" style="1"/>
    <col min="7425" max="7425" width="21.3333333333333" style="1" customWidth="1"/>
    <col min="7426" max="7428" width="8.77777777777778" style="1"/>
    <col min="7429" max="7429" width="14.7777777777778" style="1" customWidth="1"/>
    <col min="7430" max="7680" width="8.77777777777778" style="1"/>
    <col min="7681" max="7681" width="21.3333333333333" style="1" customWidth="1"/>
    <col min="7682" max="7684" width="8.77777777777778" style="1"/>
    <col min="7685" max="7685" width="14.7777777777778" style="1" customWidth="1"/>
    <col min="7686" max="7936" width="8.77777777777778" style="1"/>
    <col min="7937" max="7937" width="21.3333333333333" style="1" customWidth="1"/>
    <col min="7938" max="7940" width="8.77777777777778" style="1"/>
    <col min="7941" max="7941" width="14.7777777777778" style="1" customWidth="1"/>
    <col min="7942" max="8192" width="8.77777777777778" style="1"/>
    <col min="8193" max="8193" width="21.3333333333333" style="1" customWidth="1"/>
    <col min="8194" max="8196" width="8.77777777777778" style="1"/>
    <col min="8197" max="8197" width="14.7777777777778" style="1" customWidth="1"/>
    <col min="8198" max="8448" width="8.77777777777778" style="1"/>
    <col min="8449" max="8449" width="21.3333333333333" style="1" customWidth="1"/>
    <col min="8450" max="8452" width="8.77777777777778" style="1"/>
    <col min="8453" max="8453" width="14.7777777777778" style="1" customWidth="1"/>
    <col min="8454" max="8704" width="8.77777777777778" style="1"/>
    <col min="8705" max="8705" width="21.3333333333333" style="1" customWidth="1"/>
    <col min="8706" max="8708" width="8.77777777777778" style="1"/>
    <col min="8709" max="8709" width="14.7777777777778" style="1" customWidth="1"/>
    <col min="8710" max="8960" width="8.77777777777778" style="1"/>
    <col min="8961" max="8961" width="21.3333333333333" style="1" customWidth="1"/>
    <col min="8962" max="8964" width="8.77777777777778" style="1"/>
    <col min="8965" max="8965" width="14.7777777777778" style="1" customWidth="1"/>
    <col min="8966" max="9216" width="8.77777777777778" style="1"/>
    <col min="9217" max="9217" width="21.3333333333333" style="1" customWidth="1"/>
    <col min="9218" max="9220" width="8.77777777777778" style="1"/>
    <col min="9221" max="9221" width="14.7777777777778" style="1" customWidth="1"/>
    <col min="9222" max="9472" width="8.77777777777778" style="1"/>
    <col min="9473" max="9473" width="21.3333333333333" style="1" customWidth="1"/>
    <col min="9474" max="9476" width="8.77777777777778" style="1"/>
    <col min="9477" max="9477" width="14.7777777777778" style="1" customWidth="1"/>
    <col min="9478" max="9728" width="8.77777777777778" style="1"/>
    <col min="9729" max="9729" width="21.3333333333333" style="1" customWidth="1"/>
    <col min="9730" max="9732" width="8.77777777777778" style="1"/>
    <col min="9733" max="9733" width="14.7777777777778" style="1" customWidth="1"/>
    <col min="9734" max="9984" width="8.77777777777778" style="1"/>
    <col min="9985" max="9985" width="21.3333333333333" style="1" customWidth="1"/>
    <col min="9986" max="9988" width="8.77777777777778" style="1"/>
    <col min="9989" max="9989" width="14.7777777777778" style="1" customWidth="1"/>
    <col min="9990" max="10240" width="8.77777777777778" style="1"/>
    <col min="10241" max="10241" width="21.3333333333333" style="1" customWidth="1"/>
    <col min="10242" max="10244" width="8.77777777777778" style="1"/>
    <col min="10245" max="10245" width="14.7777777777778" style="1" customWidth="1"/>
    <col min="10246" max="10496" width="8.77777777777778" style="1"/>
    <col min="10497" max="10497" width="21.3333333333333" style="1" customWidth="1"/>
    <col min="10498" max="10500" width="8.77777777777778" style="1"/>
    <col min="10501" max="10501" width="14.7777777777778" style="1" customWidth="1"/>
    <col min="10502" max="10752" width="8.77777777777778" style="1"/>
    <col min="10753" max="10753" width="21.3333333333333" style="1" customWidth="1"/>
    <col min="10754" max="10756" width="8.77777777777778" style="1"/>
    <col min="10757" max="10757" width="14.7777777777778" style="1" customWidth="1"/>
    <col min="10758" max="11008" width="8.77777777777778" style="1"/>
    <col min="11009" max="11009" width="21.3333333333333" style="1" customWidth="1"/>
    <col min="11010" max="11012" width="8.77777777777778" style="1"/>
    <col min="11013" max="11013" width="14.7777777777778" style="1" customWidth="1"/>
    <col min="11014" max="11264" width="8.77777777777778" style="1"/>
    <col min="11265" max="11265" width="21.3333333333333" style="1" customWidth="1"/>
    <col min="11266" max="11268" width="8.77777777777778" style="1"/>
    <col min="11269" max="11269" width="14.7777777777778" style="1" customWidth="1"/>
    <col min="11270" max="11520" width="8.77777777777778" style="1"/>
    <col min="11521" max="11521" width="21.3333333333333" style="1" customWidth="1"/>
    <col min="11522" max="11524" width="8.77777777777778" style="1"/>
    <col min="11525" max="11525" width="14.7777777777778" style="1" customWidth="1"/>
    <col min="11526" max="11776" width="8.77777777777778" style="1"/>
    <col min="11777" max="11777" width="21.3333333333333" style="1" customWidth="1"/>
    <col min="11778" max="11780" width="8.77777777777778" style="1"/>
    <col min="11781" max="11781" width="14.7777777777778" style="1" customWidth="1"/>
    <col min="11782" max="12032" width="8.77777777777778" style="1"/>
    <col min="12033" max="12033" width="21.3333333333333" style="1" customWidth="1"/>
    <col min="12034" max="12036" width="8.77777777777778" style="1"/>
    <col min="12037" max="12037" width="14.7777777777778" style="1" customWidth="1"/>
    <col min="12038" max="12288" width="8.77777777777778" style="1"/>
    <col min="12289" max="12289" width="21.3333333333333" style="1" customWidth="1"/>
    <col min="12290" max="12292" width="8.77777777777778" style="1"/>
    <col min="12293" max="12293" width="14.7777777777778" style="1" customWidth="1"/>
    <col min="12294" max="12544" width="8.77777777777778" style="1"/>
    <col min="12545" max="12545" width="21.3333333333333" style="1" customWidth="1"/>
    <col min="12546" max="12548" width="8.77777777777778" style="1"/>
    <col min="12549" max="12549" width="14.7777777777778" style="1" customWidth="1"/>
    <col min="12550" max="12800" width="8.77777777777778" style="1"/>
    <col min="12801" max="12801" width="21.3333333333333" style="1" customWidth="1"/>
    <col min="12802" max="12804" width="8.77777777777778" style="1"/>
    <col min="12805" max="12805" width="14.7777777777778" style="1" customWidth="1"/>
    <col min="12806" max="13056" width="8.77777777777778" style="1"/>
    <col min="13057" max="13057" width="21.3333333333333" style="1" customWidth="1"/>
    <col min="13058" max="13060" width="8.77777777777778" style="1"/>
    <col min="13061" max="13061" width="14.7777777777778" style="1" customWidth="1"/>
    <col min="13062" max="13312" width="8.77777777777778" style="1"/>
    <col min="13313" max="13313" width="21.3333333333333" style="1" customWidth="1"/>
    <col min="13314" max="13316" width="8.77777777777778" style="1"/>
    <col min="13317" max="13317" width="14.7777777777778" style="1" customWidth="1"/>
    <col min="13318" max="13568" width="8.77777777777778" style="1"/>
    <col min="13569" max="13569" width="21.3333333333333" style="1" customWidth="1"/>
    <col min="13570" max="13572" width="8.77777777777778" style="1"/>
    <col min="13573" max="13573" width="14.7777777777778" style="1" customWidth="1"/>
    <col min="13574" max="13824" width="8.77777777777778" style="1"/>
    <col min="13825" max="13825" width="21.3333333333333" style="1" customWidth="1"/>
    <col min="13826" max="13828" width="8.77777777777778" style="1"/>
    <col min="13829" max="13829" width="14.7777777777778" style="1" customWidth="1"/>
    <col min="13830" max="14080" width="8.77777777777778" style="1"/>
    <col min="14081" max="14081" width="21.3333333333333" style="1" customWidth="1"/>
    <col min="14082" max="14084" width="8.77777777777778" style="1"/>
    <col min="14085" max="14085" width="14.7777777777778" style="1" customWidth="1"/>
    <col min="14086" max="14336" width="8.77777777777778" style="1"/>
    <col min="14337" max="14337" width="21.3333333333333" style="1" customWidth="1"/>
    <col min="14338" max="14340" width="8.77777777777778" style="1"/>
    <col min="14341" max="14341" width="14.7777777777778" style="1" customWidth="1"/>
    <col min="14342" max="14592" width="8.77777777777778" style="1"/>
    <col min="14593" max="14593" width="21.3333333333333" style="1" customWidth="1"/>
    <col min="14594" max="14596" width="8.77777777777778" style="1"/>
    <col min="14597" max="14597" width="14.7777777777778" style="1" customWidth="1"/>
    <col min="14598" max="14848" width="8.77777777777778" style="1"/>
    <col min="14849" max="14849" width="21.3333333333333" style="1" customWidth="1"/>
    <col min="14850" max="14852" width="8.77777777777778" style="1"/>
    <col min="14853" max="14853" width="14.7777777777778" style="1" customWidth="1"/>
    <col min="14854" max="15104" width="8.77777777777778" style="1"/>
    <col min="15105" max="15105" width="21.3333333333333" style="1" customWidth="1"/>
    <col min="15106" max="15108" width="8.77777777777778" style="1"/>
    <col min="15109" max="15109" width="14.7777777777778" style="1" customWidth="1"/>
    <col min="15110" max="15360" width="8.77777777777778" style="1"/>
    <col min="15361" max="15361" width="21.3333333333333" style="1" customWidth="1"/>
    <col min="15362" max="15364" width="8.77777777777778" style="1"/>
    <col min="15365" max="15365" width="14.7777777777778" style="1" customWidth="1"/>
    <col min="15366" max="15616" width="8.77777777777778" style="1"/>
    <col min="15617" max="15617" width="21.3333333333333" style="1" customWidth="1"/>
    <col min="15618" max="15620" width="8.77777777777778" style="1"/>
    <col min="15621" max="15621" width="14.7777777777778" style="1" customWidth="1"/>
    <col min="15622" max="15872" width="8.77777777777778" style="1"/>
    <col min="15873" max="15873" width="21.3333333333333" style="1" customWidth="1"/>
    <col min="15874" max="15876" width="8.77777777777778" style="1"/>
    <col min="15877" max="15877" width="14.7777777777778" style="1" customWidth="1"/>
    <col min="15878" max="16128" width="8.77777777777778" style="1"/>
    <col min="16129" max="16129" width="21.3333333333333" style="1" customWidth="1"/>
    <col min="16130" max="16132" width="8.77777777777778" style="1"/>
    <col min="16133" max="16133" width="14.7777777777778" style="1" customWidth="1"/>
    <col min="16134" max="16384" width="8.77777777777778" style="1"/>
  </cols>
  <sheetData>
    <row r="1" spans="1:8">
      <c r="A1" s="2" t="s">
        <v>18</v>
      </c>
      <c r="G1" s="2"/>
    </row>
    <row r="2" spans="1:8">
      <c r="G2" s="3"/>
      <c r="H2" s="3"/>
    </row>
    <row r="3" spans="1:8">
      <c r="A3" s="2" t="s">
        <v>19</v>
      </c>
      <c r="G3" s="3"/>
      <c r="H3" s="3"/>
    </row>
    <row r="4" spans="1:8">
      <c r="A4" s="1" t="s">
        <v>14</v>
      </c>
      <c r="B4" s="4">
        <f>Estimation!B22</f>
        <v>5871064.20311</v>
      </c>
      <c r="G4" s="3"/>
      <c r="H4" s="3"/>
    </row>
    <row r="5" spans="1:8">
      <c r="A5" s="1" t="s">
        <v>15</v>
      </c>
      <c r="B5" s="4">
        <f>Estimation!B23</f>
        <v>-1.90815</v>
      </c>
    </row>
    <row r="7" spans="1:8">
      <c r="A7" s="2" t="s">
        <v>20</v>
      </c>
    </row>
    <row r="8" spans="1:8">
      <c r="A8" s="1" t="s">
        <v>21</v>
      </c>
      <c r="B8" s="5">
        <v>250</v>
      </c>
    </row>
    <row r="9" spans="1:8">
      <c r="B9" s="6"/>
    </row>
    <row r="10" spans="1:8">
      <c r="A10" s="2" t="s">
        <v>22</v>
      </c>
      <c r="B10" s="6"/>
    </row>
    <row r="11" spans="1:8">
      <c r="A11" s="1" t="s">
        <v>23</v>
      </c>
      <c r="B11" s="7">
        <v>400</v>
      </c>
    </row>
    <row r="13" spans="1:8">
      <c r="A13" s="2" t="s">
        <v>24</v>
      </c>
    </row>
    <row r="14" spans="1:8">
      <c r="A14" s="1" t="s">
        <v>25</v>
      </c>
      <c r="B14" s="8">
        <f>B4*B11^B5</f>
        <v>63.6203504667439</v>
      </c>
    </row>
    <row r="15" spans="1:8">
      <c r="A15" s="1" t="s">
        <v>26</v>
      </c>
      <c r="B15" s="9">
        <f>B14*B11</f>
        <v>25448.1401866976</v>
      </c>
    </row>
    <row r="16" spans="1:8">
      <c r="A16" s="1" t="s">
        <v>27</v>
      </c>
      <c r="B16" s="9">
        <f>B14*B8</f>
        <v>15905.087616686</v>
      </c>
    </row>
    <row r="17" spans="1:10">
      <c r="A17" s="1" t="s">
        <v>28</v>
      </c>
      <c r="B17" s="10">
        <f>B15-B16</f>
        <v>9543.05257001159</v>
      </c>
    </row>
    <row r="18" spans="1:10">
      <c r="B18" s="11"/>
    </row>
    <row r="19" spans="1:10">
      <c r="A19" s="2" t="s">
        <v>29</v>
      </c>
      <c r="B19" s="11"/>
    </row>
    <row r="20" spans="1:10">
      <c r="A20" s="1" t="s">
        <v>30</v>
      </c>
      <c r="B20" s="9">
        <f>MAX(B26:B60)</f>
        <v>10412.3284791541</v>
      </c>
    </row>
    <row r="21" spans="1:10">
      <c r="A21" s="1" t="s">
        <v>31</v>
      </c>
      <c r="B21">
        <f>INDEX(A26:A60,MATCH(B20,B26:B60,0),1)</f>
        <v>530</v>
      </c>
    </row>
    <row r="23" spans="1:10">
      <c r="A23" s="2" t="s">
        <v>32</v>
      </c>
      <c r="J23" t="s">
        <v>33</v>
      </c>
    </row>
    <row r="24" spans="1:10">
      <c r="A24" s="12" t="s">
        <v>34</v>
      </c>
      <c r="B24" s="12" t="s">
        <v>28</v>
      </c>
      <c r="J24" s="13"/>
    </row>
    <row r="25" spans="1:10">
      <c r="A25"/>
      <c r="B25" s="14">
        <f>Profit</f>
        <v>9543.05257001159</v>
      </c>
      <c r="J25" t="s">
        <v>35</v>
      </c>
    </row>
    <row r="26" spans="1:10">
      <c r="A26" s="9">
        <v>260</v>
      </c>
      <c r="B26" s="9">
        <f t="dataTable" ref="B26:B60" dt2D="0" dtr="0" r1="B11" del1="0"/>
        <v>1447.38955988464</v>
      </c>
      <c r="J26" t="s">
        <v>36</v>
      </c>
    </row>
    <row r="27" spans="1:10">
      <c r="A27" s="9">
        <v>270</v>
      </c>
      <c r="B27" s="9">
        <v>2693.64313906428</v>
      </c>
      <c r="J27" t="s">
        <v>37</v>
      </c>
    </row>
    <row r="28" spans="1:10">
      <c r="A28" s="9">
        <v>280</v>
      </c>
      <c r="B28" s="9">
        <v>3769.58453328205</v>
      </c>
      <c r="J28" s="13"/>
    </row>
    <row r="29" spans="1:10">
      <c r="A29" s="9">
        <v>290</v>
      </c>
      <c r="B29" s="9">
        <v>4700.58684973657</v>
      </c>
      <c r="J29" s="13"/>
    </row>
    <row r="30" spans="1:10">
      <c r="A30" s="9">
        <v>300</v>
      </c>
      <c r="B30" s="9">
        <v>5507.67001010245</v>
      </c>
      <c r="J30" t="s">
        <v>38</v>
      </c>
    </row>
    <row r="31" spans="1:10">
      <c r="A31" s="9">
        <v>310</v>
      </c>
      <c r="B31" s="9">
        <v>6208.35101983567</v>
      </c>
      <c r="J31" s="13"/>
    </row>
    <row r="32" spans="1:10">
      <c r="A32" s="9">
        <v>320</v>
      </c>
      <c r="B32" s="9">
        <v>6817.30836158726</v>
      </c>
      <c r="J32" t="s">
        <v>39</v>
      </c>
    </row>
    <row r="33" spans="1:10">
      <c r="A33" s="9">
        <v>330</v>
      </c>
      <c r="B33" s="9">
        <v>7346.90530561036</v>
      </c>
      <c r="J33" t="s">
        <v>40</v>
      </c>
    </row>
    <row r="34" spans="1:10">
      <c r="A34" s="9">
        <v>340</v>
      </c>
      <c r="B34" s="9">
        <v>7807.60517984383</v>
      </c>
      <c r="J34" t="s">
        <v>41</v>
      </c>
    </row>
    <row r="35" spans="1:10">
      <c r="A35" s="9">
        <v>350</v>
      </c>
      <c r="B35" s="9">
        <v>8208.30321298579</v>
      </c>
    </row>
    <row r="36" spans="1:10">
      <c r="A36" s="9">
        <v>360</v>
      </c>
      <c r="B36" s="9">
        <v>8556.59345275769</v>
      </c>
    </row>
    <row r="37" spans="1:10">
      <c r="A37" s="9">
        <v>370</v>
      </c>
      <c r="B37" s="9">
        <v>8858.98478718192</v>
      </c>
    </row>
    <row r="38" spans="1:10">
      <c r="A38" s="9">
        <v>380</v>
      </c>
      <c r="B38" s="9">
        <v>9121.07679018585</v>
      </c>
    </row>
    <row r="39" spans="1:10">
      <c r="A39" s="9">
        <v>390</v>
      </c>
      <c r="B39" s="9">
        <v>9347.7036479766</v>
      </c>
    </row>
    <row r="40" spans="1:10">
      <c r="A40" s="9">
        <v>400</v>
      </c>
      <c r="B40" s="9">
        <v>9543.05257001159</v>
      </c>
    </row>
    <row r="41" spans="1:10">
      <c r="A41" s="9">
        <v>410</v>
      </c>
      <c r="B41" s="9">
        <v>9710.76168509907</v>
      </c>
    </row>
    <row r="42" spans="1:10">
      <c r="A42" s="9">
        <v>420</v>
      </c>
      <c r="B42" s="9">
        <v>9854.00135239616</v>
      </c>
    </row>
    <row r="43" spans="1:10">
      <c r="A43" s="9">
        <v>430</v>
      </c>
      <c r="B43" s="9">
        <v>9975.54199433818</v>
      </c>
    </row>
    <row r="44" spans="1:10">
      <c r="A44" s="9">
        <v>440</v>
      </c>
      <c r="B44" s="9">
        <v>10077.8109221999</v>
      </c>
    </row>
    <row r="45" spans="1:10">
      <c r="A45" s="9">
        <v>450</v>
      </c>
      <c r="B45" s="9">
        <v>10162.9401297345</v>
      </c>
    </row>
    <row r="46" spans="1:10">
      <c r="A46" s="9">
        <v>460</v>
      </c>
      <c r="B46" s="9">
        <v>10232.8066425837</v>
      </c>
      <c r="E46" s="2"/>
    </row>
    <row r="47" spans="1:10">
      <c r="A47" s="9">
        <v>470</v>
      </c>
      <c r="B47" s="9">
        <v>10289.0667058396</v>
      </c>
      <c r="E47" s="3"/>
      <c r="F47" s="3"/>
    </row>
    <row r="48" spans="1:10">
      <c r="A48" s="9">
        <v>480</v>
      </c>
      <c r="B48" s="9">
        <v>10333.1848504404</v>
      </c>
      <c r="E48" s="3"/>
      <c r="F48" s="3"/>
    </row>
    <row r="49" spans="1:6">
      <c r="A49" s="9">
        <v>490</v>
      </c>
      <c r="B49" s="9">
        <v>10366.4586867503</v>
      </c>
      <c r="E49" s="3"/>
      <c r="F49" s="3"/>
    </row>
    <row r="50" spans="1:6">
      <c r="A50" s="9">
        <v>500</v>
      </c>
      <c r="B50" s="9">
        <v>10390.0401198746</v>
      </c>
    </row>
    <row r="51" spans="1:6">
      <c r="A51" s="9">
        <v>510</v>
      </c>
      <c r="B51" s="9">
        <v>10404.9535576909</v>
      </c>
    </row>
    <row r="52" spans="1:6">
      <c r="A52" s="9">
        <v>520</v>
      </c>
      <c r="B52" s="9">
        <v>10412.111582849</v>
      </c>
    </row>
    <row r="53" spans="1:6">
      <c r="A53" s="9">
        <v>530</v>
      </c>
      <c r="B53" s="9">
        <v>10412.3284791541</v>
      </c>
    </row>
    <row r="54" spans="1:6">
      <c r="A54" s="9">
        <v>540</v>
      </c>
      <c r="B54" s="9">
        <v>10406.3319369546</v>
      </c>
    </row>
    <row r="55" spans="1:6">
      <c r="A55" s="9">
        <v>550</v>
      </c>
      <c r="B55" s="9">
        <v>10394.7732083886</v>
      </c>
    </row>
    <row r="56" spans="1:6">
      <c r="A56" s="9">
        <v>560</v>
      </c>
      <c r="B56" s="9">
        <v>10378.2359392437</v>
      </c>
    </row>
    <row r="57" spans="1:6">
      <c r="A57" s="9">
        <v>570</v>
      </c>
      <c r="B57" s="9">
        <v>10357.2438678693</v>
      </c>
    </row>
    <row r="58" spans="1:6">
      <c r="A58" s="9">
        <v>580</v>
      </c>
      <c r="B58" s="9">
        <v>10332.2675515863</v>
      </c>
    </row>
    <row r="59" spans="1:6">
      <c r="A59" s="9">
        <v>590</v>
      </c>
      <c r="B59" s="9">
        <v>10303.7302561637</v>
      </c>
    </row>
    <row r="60" spans="1:6">
      <c r="A60" s="9">
        <v>600</v>
      </c>
      <c r="B60" s="9">
        <v>10272.0131232488</v>
      </c>
    </row>
    <row r="61" spans="1:6">
      <c r="A61"/>
      <c r="B61"/>
    </row>
    <row r="62" spans="1:6">
      <c r="A62"/>
      <c r="B62"/>
    </row>
    <row r="63" spans="1:6">
      <c r="A63"/>
      <c r="B63"/>
    </row>
    <row r="64" spans="1:6">
      <c r="A64"/>
      <c r="B64"/>
    </row>
    <row r="65" spans="1:6">
      <c r="A65"/>
      <c r="B65"/>
    </row>
    <row r="66" spans="1:6">
      <c r="A66"/>
      <c r="B66"/>
    </row>
    <row r="67" spans="1:6">
      <c r="A67"/>
      <c r="B67"/>
    </row>
    <row r="68" spans="1:6">
      <c r="A68"/>
      <c r="B68"/>
    </row>
    <row r="69" spans="1:6">
      <c r="A69"/>
      <c r="B69"/>
    </row>
    <row r="70" spans="1:6">
      <c r="A70"/>
      <c r="B70"/>
    </row>
    <row r="71" spans="1:6">
      <c r="A71"/>
      <c r="B71"/>
    </row>
    <row r="72" spans="1:6">
      <c r="A72"/>
      <c r="B72"/>
    </row>
    <row r="73" spans="1:6">
      <c r="A73"/>
      <c r="B73"/>
    </row>
    <row r="74" spans="1:6">
      <c r="A74"/>
      <c r="B74"/>
    </row>
    <row r="75" spans="1:6">
      <c r="A75"/>
      <c r="B75"/>
    </row>
    <row r="76" spans="1:6">
      <c r="A76" s="11"/>
      <c r="B76" s="11"/>
    </row>
    <row r="77" spans="1:6">
      <c r="A77" s="15" t="s">
        <v>42</v>
      </c>
      <c r="B77" s="11"/>
    </row>
    <row r="78" spans="1:6">
      <c r="A78" s="11" t="s">
        <v>43</v>
      </c>
      <c r="B78" s="16">
        <v>150</v>
      </c>
      <c r="C78" s="16">
        <v>200</v>
      </c>
      <c r="D78" s="16">
        <v>250</v>
      </c>
      <c r="E78" s="16">
        <v>300</v>
      </c>
      <c r="F78" s="16">
        <v>350</v>
      </c>
    </row>
    <row r="79" spans="1:6">
      <c r="A79" s="11" t="s">
        <v>30</v>
      </c>
      <c r="B79" s="9">
        <f>MAX(B84:B168)</f>
        <v>16556.3203067119</v>
      </c>
      <c r="C79" s="9">
        <f t="shared" ref="C79:F79" si="0">MAX(C84:C168)</f>
        <v>12752.2370442774</v>
      </c>
      <c r="D79" s="9">
        <f t="shared" si="0"/>
        <v>10412.3284791541</v>
      </c>
      <c r="E79" s="9">
        <f t="shared" si="0"/>
        <v>8824.07315821305</v>
      </c>
      <c r="F79" s="9">
        <f t="shared" si="0"/>
        <v>7671.08739613393</v>
      </c>
    </row>
    <row r="80" spans="1:6">
      <c r="A80" s="11" t="s">
        <v>44</v>
      </c>
      <c r="B80" s="9">
        <f>INDEX($A$84:$A$168,MATCH(B79,B84:B168,0),1)</f>
        <v>320</v>
      </c>
      <c r="C80" s="9">
        <f t="shared" ref="C80:F80" si="1">INDEX($A$84:$A$168,MATCH(C79,C84:C168,0),1)</f>
        <v>420</v>
      </c>
      <c r="D80" s="9">
        <f t="shared" si="1"/>
        <v>530</v>
      </c>
      <c r="E80" s="9">
        <f t="shared" si="1"/>
        <v>630</v>
      </c>
      <c r="F80" s="9">
        <f t="shared" si="1"/>
        <v>740</v>
      </c>
    </row>
    <row r="82" spans="1:6">
      <c r="A82" s="2" t="s">
        <v>45</v>
      </c>
    </row>
    <row r="83" spans="1:6">
      <c r="A83" s="17">
        <f>B17</f>
        <v>9543.05257001159</v>
      </c>
      <c r="B83" s="18">
        <v>150</v>
      </c>
      <c r="C83" s="18">
        <v>200</v>
      </c>
      <c r="D83" s="18">
        <v>250</v>
      </c>
      <c r="E83" s="18">
        <v>300</v>
      </c>
      <c r="F83" s="18">
        <v>350</v>
      </c>
    </row>
    <row r="84" spans="1:6">
      <c r="A84" s="11">
        <v>160</v>
      </c>
      <c r="B84" s="9">
        <f t="dataTable" ref="B84:F168" dt2D="1" dtr="1" r1="B8" r2="B11"/>
        <v>3655.3190073086</v>
      </c>
      <c r="C84" s="9">
        <v>-14621.2760292344</v>
      </c>
      <c r="D84" s="9">
        <v>-32897.8710657774</v>
      </c>
      <c r="E84" s="9">
        <v>-51174.4661023204</v>
      </c>
      <c r="F84" s="9">
        <v>-69451.0611388634</v>
      </c>
    </row>
    <row r="85" spans="1:6">
      <c r="A85" s="11">
        <v>170</v>
      </c>
      <c r="B85" s="9">
        <v>6512.01985404484</v>
      </c>
      <c r="C85" s="9">
        <v>-9768.02978106726</v>
      </c>
      <c r="D85" s="9">
        <v>-26048.0794161794</v>
      </c>
      <c r="E85" s="9">
        <v>-42328.1290512914</v>
      </c>
      <c r="F85" s="9">
        <v>-58608.1786864035</v>
      </c>
    </row>
    <row r="86" spans="1:6">
      <c r="A86" s="11">
        <v>180</v>
      </c>
      <c r="B86" s="9">
        <v>8758.70408300639</v>
      </c>
      <c r="C86" s="9">
        <v>-5839.13605533759</v>
      </c>
      <c r="D86" s="9">
        <v>-20436.9761936816</v>
      </c>
      <c r="E86" s="9">
        <v>-35034.8163320256</v>
      </c>
      <c r="F86" s="9">
        <v>-49632.6564703696</v>
      </c>
    </row>
    <row r="87" spans="1:6">
      <c r="A87" s="11">
        <v>190</v>
      </c>
      <c r="B87" s="9">
        <v>10533.5106164607</v>
      </c>
      <c r="C87" s="9">
        <v>-2633.37765411517</v>
      </c>
      <c r="D87" s="9">
        <v>-15800.265924691</v>
      </c>
      <c r="E87" s="9">
        <v>-28967.1541952669</v>
      </c>
      <c r="F87" s="9">
        <v>-42134.0424658428</v>
      </c>
    </row>
    <row r="88" spans="1:6">
      <c r="A88" s="11">
        <v>200</v>
      </c>
      <c r="B88" s="9">
        <v>11939.2335497206</v>
      </c>
      <c r="C88" s="9">
        <v>0</v>
      </c>
      <c r="D88" s="9">
        <v>-11939.2335497206</v>
      </c>
      <c r="E88" s="9">
        <v>-23878.4670994412</v>
      </c>
      <c r="F88" s="9">
        <v>-35817.7006491618</v>
      </c>
    </row>
    <row r="89" spans="1:6">
      <c r="A89" s="11">
        <v>210</v>
      </c>
      <c r="B89" s="9">
        <v>13053.4506850013</v>
      </c>
      <c r="C89" s="9">
        <v>2175.57511416689</v>
      </c>
      <c r="D89" s="9">
        <v>-8702.30045666756</v>
      </c>
      <c r="E89" s="9">
        <v>-19580.176027502</v>
      </c>
      <c r="F89" s="9">
        <v>-30458.0515983364</v>
      </c>
    </row>
    <row r="90" spans="1:6">
      <c r="A90" s="11">
        <v>220</v>
      </c>
      <c r="B90" s="9">
        <v>13935.4510857878</v>
      </c>
      <c r="C90" s="9">
        <v>3981.55745308222</v>
      </c>
      <c r="D90" s="9">
        <v>-5972.33617962332</v>
      </c>
      <c r="E90" s="9">
        <v>-15926.2298123289</v>
      </c>
      <c r="F90" s="9">
        <v>-25880.1234450344</v>
      </c>
    </row>
    <row r="91" spans="1:6">
      <c r="A91" s="11">
        <v>230</v>
      </c>
      <c r="B91" s="9">
        <v>14631.0618540721</v>
      </c>
      <c r="C91" s="9">
        <v>5486.64819527705</v>
      </c>
      <c r="D91" s="9">
        <v>-3657.76546351804</v>
      </c>
      <c r="E91" s="9">
        <v>-12802.1791223131</v>
      </c>
      <c r="F91" s="9">
        <v>-21946.5927811082</v>
      </c>
    </row>
    <row r="92" spans="1:6">
      <c r="A92" s="11">
        <v>240</v>
      </c>
      <c r="B92" s="9">
        <v>15176.0678028984</v>
      </c>
      <c r="C92" s="9">
        <v>6744.91902351042</v>
      </c>
      <c r="D92" s="9">
        <v>-1686.22975587761</v>
      </c>
      <c r="E92" s="9">
        <v>-10117.3785352656</v>
      </c>
      <c r="F92" s="9">
        <v>-18548.5273146537</v>
      </c>
    </row>
    <row r="93" spans="1:6">
      <c r="A93" s="11">
        <v>250</v>
      </c>
      <c r="B93" s="9">
        <v>15598.6711386626</v>
      </c>
      <c r="C93" s="9">
        <v>7799.33556933129</v>
      </c>
      <c r="D93" s="9">
        <v>0</v>
      </c>
      <c r="E93" s="9">
        <v>-7799.3355693313</v>
      </c>
      <c r="F93" s="9">
        <v>-15598.6711386626</v>
      </c>
    </row>
    <row r="94" spans="1:6">
      <c r="A94" s="11">
        <v>260</v>
      </c>
      <c r="B94" s="9">
        <v>15921.2851587309</v>
      </c>
      <c r="C94" s="9">
        <v>8684.33735930779</v>
      </c>
      <c r="D94" s="9">
        <v>1447.38955988463</v>
      </c>
      <c r="E94" s="9">
        <v>-5789.55823953852</v>
      </c>
      <c r="F94" s="9">
        <v>-13026.5060389617</v>
      </c>
    </row>
    <row r="95" spans="1:6">
      <c r="A95" s="11">
        <v>270</v>
      </c>
      <c r="B95" s="9">
        <v>16161.8588343856</v>
      </c>
      <c r="C95" s="9">
        <v>9427.75098672494</v>
      </c>
      <c r="D95" s="9">
        <v>2693.64313906427</v>
      </c>
      <c r="E95" s="9">
        <v>-4040.46470859641</v>
      </c>
      <c r="F95" s="9">
        <v>-10774.5725562571</v>
      </c>
    </row>
    <row r="96" spans="1:6">
      <c r="A96" s="11">
        <v>280</v>
      </c>
      <c r="B96" s="9">
        <v>16334.8663108889</v>
      </c>
      <c r="C96" s="9">
        <v>10052.2254220855</v>
      </c>
      <c r="D96" s="9">
        <v>3769.58453328205</v>
      </c>
      <c r="E96" s="9">
        <v>-2513.05635552137</v>
      </c>
      <c r="F96" s="9">
        <v>-8795.69724432478</v>
      </c>
    </row>
    <row r="97" spans="1:6">
      <c r="A97" s="11">
        <v>290</v>
      </c>
      <c r="B97" s="9">
        <v>16452.053974078</v>
      </c>
      <c r="C97" s="9">
        <v>10576.3204119073</v>
      </c>
      <c r="D97" s="9">
        <v>4700.58684973657</v>
      </c>
      <c r="E97" s="9">
        <v>-1175.14671243414</v>
      </c>
      <c r="F97" s="9">
        <v>-7050.88027460485</v>
      </c>
    </row>
    <row r="98" spans="1:6">
      <c r="A98" s="11">
        <v>300</v>
      </c>
      <c r="B98" s="9">
        <v>16523.0100303074</v>
      </c>
      <c r="C98" s="9">
        <v>11015.3400202049</v>
      </c>
      <c r="D98" s="9">
        <v>5507.67001010245</v>
      </c>
      <c r="E98" s="9">
        <v>0</v>
      </c>
      <c r="F98" s="9">
        <v>-5507.67001010245</v>
      </c>
    </row>
    <row r="99" spans="1:6">
      <c r="A99" s="11">
        <v>310</v>
      </c>
      <c r="B99" s="9">
        <v>16555.6027195618</v>
      </c>
      <c r="C99" s="9">
        <v>11381.9768696987</v>
      </c>
      <c r="D99" s="9">
        <v>6208.35101983567</v>
      </c>
      <c r="E99" s="9">
        <v>1034.72516997261</v>
      </c>
      <c r="F99" s="9">
        <v>-4138.90067989045</v>
      </c>
    </row>
    <row r="100" spans="1:6">
      <c r="A100" s="11">
        <v>320</v>
      </c>
      <c r="B100" s="9">
        <v>16556.3203067119</v>
      </c>
      <c r="C100" s="9">
        <v>11686.8143341496</v>
      </c>
      <c r="D100" s="9">
        <v>6817.30836158727</v>
      </c>
      <c r="E100" s="9">
        <v>1947.80238902494</v>
      </c>
      <c r="F100" s="9">
        <v>-2921.7035835374</v>
      </c>
    </row>
    <row r="101" spans="1:6">
      <c r="A101" s="11">
        <v>330</v>
      </c>
      <c r="B101" s="9">
        <v>16530.5369376233</v>
      </c>
      <c r="C101" s="9">
        <v>11938.7211216168</v>
      </c>
      <c r="D101" s="9">
        <v>7346.90530561037</v>
      </c>
      <c r="E101" s="9">
        <v>2755.08948960389</v>
      </c>
      <c r="F101" s="9">
        <v>-1836.72632640259</v>
      </c>
    </row>
    <row r="102" spans="1:6">
      <c r="A102" s="11">
        <v>340</v>
      </c>
      <c r="B102" s="9">
        <v>16482.7220463369</v>
      </c>
      <c r="C102" s="9">
        <v>12145.1636130904</v>
      </c>
      <c r="D102" s="9">
        <v>7807.60517984382</v>
      </c>
      <c r="E102" s="9">
        <v>3470.04674659725</v>
      </c>
      <c r="F102" s="9">
        <v>-867.511686649312</v>
      </c>
    </row>
    <row r="103" spans="1:6">
      <c r="A103" s="11">
        <v>350</v>
      </c>
      <c r="B103" s="9">
        <v>16416.6064259716</v>
      </c>
      <c r="C103" s="9">
        <v>12312.4548194787</v>
      </c>
      <c r="D103" s="9">
        <v>8208.30321298579</v>
      </c>
      <c r="E103" s="9">
        <v>4104.15160649289</v>
      </c>
      <c r="F103" s="9">
        <v>0</v>
      </c>
    </row>
    <row r="104" spans="1:6">
      <c r="A104" s="11">
        <v>360</v>
      </c>
      <c r="B104" s="9">
        <v>16335.3147734465</v>
      </c>
      <c r="C104" s="9">
        <v>12445.9541131021</v>
      </c>
      <c r="D104" s="9">
        <v>8556.59345275769</v>
      </c>
      <c r="E104" s="9">
        <v>4667.23279241329</v>
      </c>
      <c r="F104" s="9">
        <v>777.872132068882</v>
      </c>
    </row>
    <row r="105" spans="1:6">
      <c r="A105" s="11">
        <v>370</v>
      </c>
      <c r="B105" s="9">
        <v>16241.4721098335</v>
      </c>
      <c r="C105" s="9">
        <v>12550.2284485077</v>
      </c>
      <c r="D105" s="9">
        <v>8858.98478718192</v>
      </c>
      <c r="E105" s="9">
        <v>5167.74112585612</v>
      </c>
      <c r="F105" s="9">
        <v>1476.49746453032</v>
      </c>
    </row>
    <row r="106" spans="1:6">
      <c r="A106" s="11">
        <v>380</v>
      </c>
      <c r="B106" s="9">
        <v>16137.2897057134</v>
      </c>
      <c r="C106" s="9">
        <v>12629.1832479496</v>
      </c>
      <c r="D106" s="9">
        <v>9121.07679018585</v>
      </c>
      <c r="E106" s="9">
        <v>5612.97033242206</v>
      </c>
      <c r="F106" s="9">
        <v>2104.86387465827</v>
      </c>
    </row>
    <row r="107" spans="1:6">
      <c r="A107" s="11">
        <v>390</v>
      </c>
      <c r="B107" s="9">
        <v>16024.6348251027</v>
      </c>
      <c r="C107" s="9">
        <v>12686.1692365397</v>
      </c>
      <c r="D107" s="9">
        <v>9347.70364797659</v>
      </c>
      <c r="E107" s="9">
        <v>6009.23805941352</v>
      </c>
      <c r="F107" s="9">
        <v>2670.77247085045</v>
      </c>
    </row>
    <row r="108" spans="1:6">
      <c r="A108" s="11">
        <v>400</v>
      </c>
      <c r="B108" s="9">
        <v>15905.087616686</v>
      </c>
      <c r="C108" s="9">
        <v>12724.0700933488</v>
      </c>
      <c r="D108" s="9">
        <v>9543.05257001159</v>
      </c>
      <c r="E108" s="9">
        <v>6362.03504667439</v>
      </c>
      <c r="F108" s="9">
        <v>3181.0175233372</v>
      </c>
    </row>
    <row r="109" spans="1:6">
      <c r="A109" s="11">
        <v>410</v>
      </c>
      <c r="B109" s="9">
        <v>15779.987738286</v>
      </c>
      <c r="C109" s="9">
        <v>12745.3747116925</v>
      </c>
      <c r="D109" s="9">
        <v>9710.76168509907</v>
      </c>
      <c r="E109" s="9">
        <v>6676.14865850561</v>
      </c>
      <c r="F109" s="9">
        <v>3641.53563191215</v>
      </c>
    </row>
    <row r="110" spans="1:6">
      <c r="A110" s="11">
        <v>420</v>
      </c>
      <c r="B110" s="9">
        <v>15650.4727361586</v>
      </c>
      <c r="C110" s="9">
        <v>12752.2370442774</v>
      </c>
      <c r="D110" s="9">
        <v>9854.00135239616</v>
      </c>
      <c r="E110" s="9">
        <v>6955.76566051493</v>
      </c>
      <c r="F110" s="9">
        <v>4057.52996863371</v>
      </c>
    </row>
    <row r="111" spans="1:6">
      <c r="A111" s="11">
        <v>430</v>
      </c>
      <c r="B111" s="9">
        <v>15517.5097689705</v>
      </c>
      <c r="C111" s="9">
        <v>12746.5258816544</v>
      </c>
      <c r="D111" s="9">
        <v>9975.54199433819</v>
      </c>
      <c r="E111" s="9">
        <v>7204.55810702203</v>
      </c>
      <c r="F111" s="9">
        <v>4433.57421970586</v>
      </c>
    </row>
    <row r="112" spans="1:6">
      <c r="A112" s="11">
        <v>440</v>
      </c>
      <c r="B112" s="9">
        <v>15381.9219338841</v>
      </c>
      <c r="C112" s="9">
        <v>12729.866428042</v>
      </c>
      <c r="D112" s="9">
        <v>10077.8109221999</v>
      </c>
      <c r="E112" s="9">
        <v>7425.75541635782</v>
      </c>
      <c r="F112" s="9">
        <v>4773.69991051574</v>
      </c>
    </row>
    <row r="113" spans="1:6">
      <c r="A113" s="11">
        <v>450</v>
      </c>
      <c r="B113" s="9">
        <v>15244.4101946017</v>
      </c>
      <c r="C113" s="9">
        <v>12703.6751621681</v>
      </c>
      <c r="D113" s="9">
        <v>10162.9401297345</v>
      </c>
      <c r="E113" s="9">
        <v>7622.20509730087</v>
      </c>
      <c r="F113" s="9">
        <v>5081.47006486725</v>
      </c>
    </row>
    <row r="114" spans="1:6">
      <c r="A114" s="11">
        <v>460</v>
      </c>
      <c r="B114" s="9">
        <v>15105.5717104807</v>
      </c>
      <c r="C114" s="9">
        <v>12669.1891765322</v>
      </c>
      <c r="D114" s="9">
        <v>10232.8066425837</v>
      </c>
      <c r="E114" s="9">
        <v>7796.42410863519</v>
      </c>
      <c r="F114" s="9">
        <v>5360.0415746867</v>
      </c>
    </row>
    <row r="115" spans="1:6">
      <c r="A115" s="11">
        <v>470</v>
      </c>
      <c r="B115" s="9">
        <v>14965.915208494</v>
      </c>
      <c r="C115" s="9">
        <v>12627.4909571668</v>
      </c>
      <c r="D115" s="9">
        <v>10289.0667058396</v>
      </c>
      <c r="E115" s="9">
        <v>7950.64245451244</v>
      </c>
      <c r="F115" s="9">
        <v>5612.21820318525</v>
      </c>
    </row>
    <row r="116" spans="1:6">
      <c r="A116" s="11">
        <v>480</v>
      </c>
      <c r="B116" s="9">
        <v>14825.8739158493</v>
      </c>
      <c r="C116" s="9">
        <v>12579.5293831449</v>
      </c>
      <c r="D116" s="9">
        <v>10333.1848504404</v>
      </c>
      <c r="E116" s="9">
        <v>8086.840317736</v>
      </c>
      <c r="F116" s="9">
        <v>5840.49578503155</v>
      </c>
    </row>
    <row r="117" spans="1:6">
      <c r="A117" s="11">
        <v>490</v>
      </c>
      <c r="B117" s="9">
        <v>14685.8164728963</v>
      </c>
      <c r="C117" s="9">
        <v>12526.1375798233</v>
      </c>
      <c r="D117" s="9">
        <v>10366.4586867504</v>
      </c>
      <c r="E117" s="9">
        <v>8206.77979367737</v>
      </c>
      <c r="F117" s="9">
        <v>6047.10090060438</v>
      </c>
    </row>
    <row r="118" spans="1:6">
      <c r="A118" s="11">
        <v>500</v>
      </c>
      <c r="B118" s="9">
        <v>14546.0561678244</v>
      </c>
      <c r="C118" s="9">
        <v>12468.0481438495</v>
      </c>
      <c r="D118" s="9">
        <v>10390.0401198746</v>
      </c>
      <c r="E118" s="9">
        <v>8312.03209589967</v>
      </c>
      <c r="F118" s="9">
        <v>6234.02407192475</v>
      </c>
    </row>
    <row r="119" spans="1:6">
      <c r="A119" s="11">
        <v>510</v>
      </c>
      <c r="B119" s="9">
        <v>14406.8587721874</v>
      </c>
      <c r="C119" s="9">
        <v>12405.9061649391</v>
      </c>
      <c r="D119" s="9">
        <v>10404.9535576909</v>
      </c>
      <c r="E119" s="9">
        <v>8404.00095044263</v>
      </c>
      <c r="F119" s="9">
        <v>6403.04834319439</v>
      </c>
    </row>
    <row r="120" spans="1:6">
      <c r="A120" s="11">
        <v>520</v>
      </c>
      <c r="B120" s="9">
        <v>14268.4492061264</v>
      </c>
      <c r="C120" s="9">
        <v>12340.2803944877</v>
      </c>
      <c r="D120" s="9">
        <v>10412.111582849</v>
      </c>
      <c r="E120" s="9">
        <v>8483.94277121028</v>
      </c>
      <c r="F120" s="9">
        <v>6555.77395957158</v>
      </c>
    </row>
    <row r="121" spans="1:6">
      <c r="A121" s="11">
        <v>530</v>
      </c>
      <c r="B121" s="9">
        <v>14131.0172217092</v>
      </c>
      <c r="C121" s="9">
        <v>12271.6728504317</v>
      </c>
      <c r="D121" s="9">
        <v>10412.3284791541</v>
      </c>
      <c r="E121" s="9">
        <v>8552.98410787661</v>
      </c>
      <c r="F121" s="9">
        <v>6693.63973659908</v>
      </c>
    </row>
    <row r="122" spans="1:6">
      <c r="A122" s="11">
        <v>540</v>
      </c>
      <c r="B122" s="9">
        <v>13994.7222600423</v>
      </c>
      <c r="C122" s="9">
        <v>12200.5270984984</v>
      </c>
      <c r="D122" s="9">
        <v>10406.3319369545</v>
      </c>
      <c r="E122" s="9">
        <v>8612.13677541066</v>
      </c>
      <c r="F122" s="9">
        <v>6817.94161386677</v>
      </c>
    </row>
    <row r="123" spans="1:6">
      <c r="A123" s="11">
        <v>550</v>
      </c>
      <c r="B123" s="9">
        <v>13859.6976111848</v>
      </c>
      <c r="C123" s="9">
        <v>12127.2354097867</v>
      </c>
      <c r="D123" s="9">
        <v>10394.7732083886</v>
      </c>
      <c r="E123" s="9">
        <v>8662.31100699051</v>
      </c>
      <c r="F123" s="9">
        <v>6929.84880559241</v>
      </c>
    </row>
    <row r="124" spans="1:6">
      <c r="A124" s="11">
        <v>560</v>
      </c>
      <c r="B124" s="9">
        <v>13726.053984161</v>
      </c>
      <c r="C124" s="9">
        <v>12052.1449617024</v>
      </c>
      <c r="D124" s="9">
        <v>10378.2359392437</v>
      </c>
      <c r="E124" s="9">
        <v>8704.32691678504</v>
      </c>
      <c r="F124" s="9">
        <v>7030.41789432637</v>
      </c>
    </row>
    <row r="125" spans="1:6">
      <c r="A125" s="11">
        <v>570</v>
      </c>
      <c r="B125" s="9">
        <v>13593.8825765785</v>
      </c>
      <c r="C125" s="9">
        <v>11975.5632222239</v>
      </c>
      <c r="D125" s="9">
        <v>10357.2438678693</v>
      </c>
      <c r="E125" s="9">
        <v>8738.92451351472</v>
      </c>
      <c r="F125" s="9">
        <v>7120.60515916014</v>
      </c>
    </row>
    <row r="126" spans="1:6">
      <c r="A126" s="11">
        <v>580</v>
      </c>
      <c r="B126" s="9">
        <v>13463.2577187337</v>
      </c>
      <c r="C126" s="9">
        <v>11897.76263516</v>
      </c>
      <c r="D126" s="9">
        <v>10332.2675515863</v>
      </c>
      <c r="E126" s="9">
        <v>8766.77246801261</v>
      </c>
      <c r="F126" s="9">
        <v>7201.27738443893</v>
      </c>
    </row>
    <row r="127" spans="1:6">
      <c r="A127" s="11">
        <v>590</v>
      </c>
      <c r="B127" s="9">
        <v>13334.2391550353</v>
      </c>
      <c r="C127" s="9">
        <v>11818.9847055995</v>
      </c>
      <c r="D127" s="9">
        <v>10303.7302561637</v>
      </c>
      <c r="E127" s="9">
        <v>8788.47580672782</v>
      </c>
      <c r="F127" s="9">
        <v>7273.22135729199</v>
      </c>
    </row>
    <row r="128" spans="1:6">
      <c r="A128" s="11">
        <v>600</v>
      </c>
      <c r="B128" s="9">
        <v>13206.8740156056</v>
      </c>
      <c r="C128" s="9">
        <v>11739.4435694272</v>
      </c>
      <c r="D128" s="9">
        <v>10272.0131232488</v>
      </c>
      <c r="E128" s="9">
        <v>8804.58267707043</v>
      </c>
      <c r="F128" s="9">
        <v>7337.15223089202</v>
      </c>
    </row>
    <row r="129" spans="1:6">
      <c r="A129" s="11">
        <v>610</v>
      </c>
      <c r="B129" s="9">
        <v>13081.1985226478</v>
      </c>
      <c r="C129" s="9">
        <v>11659.3291180122</v>
      </c>
      <c r="D129" s="9">
        <v>10237.4597133765</v>
      </c>
      <c r="E129" s="9">
        <v>8815.59030874091</v>
      </c>
      <c r="F129" s="9">
        <v>7393.72090410528</v>
      </c>
    </row>
    <row r="130" spans="1:6">
      <c r="A130" s="11">
        <v>620</v>
      </c>
      <c r="B130" s="9">
        <v>12957.2394692877</v>
      </c>
      <c r="C130" s="9">
        <v>11578.8097385124</v>
      </c>
      <c r="D130" s="9">
        <v>10200.3800077372</v>
      </c>
      <c r="E130" s="9">
        <v>8821.95027696186</v>
      </c>
      <c r="F130" s="9">
        <v>7443.52054618657</v>
      </c>
    </row>
    <row r="131" spans="1:6">
      <c r="A131" s="11">
        <v>630</v>
      </c>
      <c r="B131" s="9">
        <v>12835.0155028554</v>
      </c>
      <c r="C131" s="9">
        <v>11498.0347213079</v>
      </c>
      <c r="D131" s="9">
        <v>10161.0539397605</v>
      </c>
      <c r="E131" s="9">
        <v>8824.07315821305</v>
      </c>
      <c r="F131" s="9">
        <v>7487.09237666562</v>
      </c>
    </row>
    <row r="132" spans="1:6">
      <c r="A132" s="11">
        <v>640</v>
      </c>
      <c r="B132" s="9">
        <v>12714.5382397657</v>
      </c>
      <c r="C132" s="9">
        <v>11417.1363785651</v>
      </c>
      <c r="D132" s="9">
        <v>10119.7345173645</v>
      </c>
      <c r="E132" s="9">
        <v>8822.33265616395</v>
      </c>
      <c r="F132" s="9">
        <v>7524.93079496337</v>
      </c>
    </row>
    <row r="133" spans="1:6">
      <c r="A133" s="11">
        <v>650</v>
      </c>
      <c r="B133" s="9">
        <v>12595.8132351309</v>
      </c>
      <c r="C133" s="9">
        <v>11336.2319116178</v>
      </c>
      <c r="D133" s="9">
        <v>10076.6505881047</v>
      </c>
      <c r="E133" s="9">
        <v>8817.06926459164</v>
      </c>
      <c r="F133" s="9">
        <v>7557.48794107855</v>
      </c>
    </row>
    <row r="134" spans="1:6">
      <c r="A134" s="11">
        <v>660</v>
      </c>
      <c r="B134" s="9">
        <v>12478.8408268429</v>
      </c>
      <c r="C134" s="9">
        <v>11255.4250595053</v>
      </c>
      <c r="D134" s="9">
        <v>10032.0092921678</v>
      </c>
      <c r="E134" s="9">
        <v>8808.59352483027</v>
      </c>
      <c r="F134" s="9">
        <v>7585.17775749273</v>
      </c>
    </row>
    <row r="135" spans="1:6">
      <c r="A135" s="11">
        <v>670</v>
      </c>
      <c r="B135" s="9">
        <v>12363.6168710091</v>
      </c>
      <c r="C135" s="9">
        <v>11174.807556489</v>
      </c>
      <c r="D135" s="9">
        <v>9985.99824196888</v>
      </c>
      <c r="E135" s="9">
        <v>8797.18892744878</v>
      </c>
      <c r="F135" s="9">
        <v>7608.37961292867</v>
      </c>
    </row>
    <row r="136" spans="1:6">
      <c r="A136" s="11">
        <v>680</v>
      </c>
      <c r="B136" s="9">
        <v>12250.1333832087</v>
      </c>
      <c r="C136" s="9">
        <v>11094.4604225286</v>
      </c>
      <c r="D136" s="9">
        <v>9938.78746184857</v>
      </c>
      <c r="E136" s="9">
        <v>8783.11450116851</v>
      </c>
      <c r="F136" s="9">
        <v>7627.44154048844</v>
      </c>
    </row>
    <row r="137" spans="1:6">
      <c r="A137" s="11">
        <v>690</v>
      </c>
      <c r="B137" s="9">
        <v>12138.3790979899</v>
      </c>
      <c r="C137" s="9">
        <v>11014.4551074353</v>
      </c>
      <c r="D137" s="9">
        <v>9890.53111688068</v>
      </c>
      <c r="E137" s="9">
        <v>8766.60712632606</v>
      </c>
      <c r="F137" s="9">
        <v>7642.68313577143</v>
      </c>
    </row>
    <row r="138" spans="1:6">
      <c r="A138" s="11">
        <v>700</v>
      </c>
      <c r="B138" s="9">
        <v>12028.3399572924</v>
      </c>
      <c r="C138" s="9">
        <v>10934.8545066295</v>
      </c>
      <c r="D138" s="9">
        <v>9841.36905596653</v>
      </c>
      <c r="E138" s="9">
        <v>8747.88360530358</v>
      </c>
      <c r="F138" s="9">
        <v>7654.39815464063</v>
      </c>
    </row>
    <row r="139" spans="1:6">
      <c r="A139" s="11">
        <v>710</v>
      </c>
      <c r="B139" s="9">
        <v>11919.999537002</v>
      </c>
      <c r="C139" s="9">
        <v>10855.7138640554</v>
      </c>
      <c r="D139" s="9">
        <v>9791.42819110877</v>
      </c>
      <c r="E139" s="9">
        <v>8727.14251816216</v>
      </c>
      <c r="F139" s="9">
        <v>7662.85684521556</v>
      </c>
    </row>
    <row r="140" spans="1:6">
      <c r="A140" s="11">
        <v>720</v>
      </c>
      <c r="B140" s="9">
        <v>11813.3394195833</v>
      </c>
      <c r="C140" s="9">
        <v>10777.0815757602</v>
      </c>
      <c r="D140" s="9">
        <v>9740.82373193714</v>
      </c>
      <c r="E140" s="9">
        <v>8704.56588811404</v>
      </c>
      <c r="F140" s="9">
        <v>7668.30804429094</v>
      </c>
    </row>
    <row r="141" spans="1:6">
      <c r="A141" s="11">
        <v>730</v>
      </c>
      <c r="B141" s="9">
        <v>11708.3395196628</v>
      </c>
      <c r="C141" s="9">
        <v>10698.9999058988</v>
      </c>
      <c r="D141" s="9">
        <v>9689.66029213477</v>
      </c>
      <c r="E141" s="9">
        <v>8680.32067837073</v>
      </c>
      <c r="F141" s="9">
        <v>7670.98106460669</v>
      </c>
    </row>
    <row r="142" spans="1:6">
      <c r="A142" s="11">
        <v>740</v>
      </c>
      <c r="B142" s="9">
        <v>11604.9783685103</v>
      </c>
      <c r="C142" s="9">
        <v>10621.5056254162</v>
      </c>
      <c r="D142" s="9">
        <v>9638.03288232212</v>
      </c>
      <c r="E142" s="9">
        <v>8654.56013922802</v>
      </c>
      <c r="F142" s="9">
        <v>7671.08739613393</v>
      </c>
    </row>
    <row r="143" spans="1:6">
      <c r="A143" s="11">
        <v>750</v>
      </c>
      <c r="B143" s="9">
        <v>11503.2333625806</v>
      </c>
      <c r="C143" s="9">
        <v>10544.6305823655</v>
      </c>
      <c r="D143" s="9">
        <v>9586.02780215047</v>
      </c>
      <c r="E143" s="9">
        <v>8627.42502193543</v>
      </c>
      <c r="F143" s="9">
        <v>7668.82224172038</v>
      </c>
    </row>
    <row r="144" spans="1:6">
      <c r="A144" s="11">
        <v>760</v>
      </c>
      <c r="B144" s="9">
        <v>11403.0809805969</v>
      </c>
      <c r="C144" s="9">
        <v>10468.4022116955</v>
      </c>
      <c r="D144" s="9">
        <v>9533.72344279416</v>
      </c>
      <c r="E144" s="9">
        <v>8599.04467389277</v>
      </c>
      <c r="F144" s="9">
        <v>7664.36590499138</v>
      </c>
    </row>
    <row r="145" spans="1:6">
      <c r="A145" s="11">
        <v>770</v>
      </c>
      <c r="B145" s="9">
        <v>11304.4969730744</v>
      </c>
      <c r="C145" s="9">
        <v>10392.8439913749</v>
      </c>
      <c r="D145" s="9">
        <v>9481.19100967533</v>
      </c>
      <c r="E145" s="9">
        <v>8569.53802797578</v>
      </c>
      <c r="F145" s="9">
        <v>7657.88504627623</v>
      </c>
    </row>
    <row r="146" spans="1:6">
      <c r="A146" s="11">
        <v>780</v>
      </c>
      <c r="B146" s="9">
        <v>11207.4565276785</v>
      </c>
      <c r="C146" s="9">
        <v>10317.9758508786</v>
      </c>
      <c r="D146" s="9">
        <v>9428.49517407877</v>
      </c>
      <c r="E146" s="9">
        <v>8539.01449727888</v>
      </c>
      <c r="F146" s="9">
        <v>7649.533820479</v>
      </c>
    </row>
    <row r="147" spans="1:6">
      <c r="A147" s="11">
        <v>790</v>
      </c>
      <c r="B147" s="9">
        <v>11111.9344133804</v>
      </c>
      <c r="C147" s="9">
        <v>10243.8145373351</v>
      </c>
      <c r="D147" s="9">
        <v>9375.69466128974</v>
      </c>
      <c r="E147" s="9">
        <v>8507.5747852444</v>
      </c>
      <c r="F147" s="9">
        <v>7639.45490919905</v>
      </c>
    </row>
    <row r="148" spans="1:6">
      <c r="A148" s="11">
        <v>800</v>
      </c>
      <c r="B148" s="9">
        <v>11017.9051059937</v>
      </c>
      <c r="C148" s="9">
        <v>10170.3739439942</v>
      </c>
      <c r="D148" s="9">
        <v>9322.84278199469</v>
      </c>
      <c r="E148" s="9">
        <v>8475.31161999517</v>
      </c>
      <c r="F148" s="9">
        <v>7627.78045799565</v>
      </c>
    </row>
    <row r="149" spans="1:6">
      <c r="A149" s="11">
        <v>810</v>
      </c>
      <c r="B149" s="9">
        <v>10925.3428973533</v>
      </c>
      <c r="C149" s="9">
        <v>10097.6654051296</v>
      </c>
      <c r="D149" s="9">
        <v>9269.98791290583</v>
      </c>
      <c r="E149" s="9">
        <v>8442.3104206821</v>
      </c>
      <c r="F149" s="9">
        <v>7614.63292845836</v>
      </c>
    </row>
    <row r="150" spans="1:6">
      <c r="A150" s="11">
        <v>820</v>
      </c>
      <c r="B150" s="9">
        <v>10834.2219901141</v>
      </c>
      <c r="C150" s="9">
        <v>10025.6979610011</v>
      </c>
      <c r="D150" s="9">
        <v>9217.17393188814</v>
      </c>
      <c r="E150" s="9">
        <v>8408.64990277514</v>
      </c>
      <c r="F150" s="9">
        <v>7600.12587366215</v>
      </c>
    </row>
    <row r="151" spans="1:6">
      <c r="A151" s="11">
        <v>830</v>
      </c>
      <c r="B151" s="9">
        <v>10744.5165799031</v>
      </c>
      <c r="C151" s="9">
        <v>9954.47859608671</v>
      </c>
      <c r="D151" s="9">
        <v>9164.4406122703</v>
      </c>
      <c r="E151" s="9">
        <v>8374.4026284539</v>
      </c>
      <c r="F151" s="9">
        <v>7584.36464463749</v>
      </c>
    </row>
    <row r="152" spans="1:6">
      <c r="A152" s="11">
        <v>840</v>
      </c>
      <c r="B152" s="9">
        <v>10656.200926344</v>
      </c>
      <c r="C152" s="9">
        <v>9884.01245342049</v>
      </c>
      <c r="D152" s="9">
        <v>9111.82398049701</v>
      </c>
      <c r="E152" s="9">
        <v>8339.63550757354</v>
      </c>
      <c r="F152" s="9">
        <v>7567.44703465006</v>
      </c>
    </row>
    <row r="153" spans="1:6">
      <c r="A153" s="11">
        <v>850</v>
      </c>
      <c r="B153" s="9">
        <v>10569.2494142895</v>
      </c>
      <c r="C153" s="9">
        <v>9814.30302755456</v>
      </c>
      <c r="D153" s="9">
        <v>9059.3566408196</v>
      </c>
      <c r="E153" s="9">
        <v>8304.41025408463</v>
      </c>
      <c r="F153" s="9">
        <v>7549.46386734966</v>
      </c>
    </row>
    <row r="154" spans="1:6">
      <c r="A154" s="11">
        <v>860</v>
      </c>
      <c r="B154" s="9">
        <v>10483.636606434</v>
      </c>
      <c r="C154" s="9">
        <v>9745.35233837528</v>
      </c>
      <c r="D154" s="9">
        <v>9007.06807031655</v>
      </c>
      <c r="E154" s="9">
        <v>8268.78380225781</v>
      </c>
      <c r="F154" s="9">
        <v>7530.49953419908</v>
      </c>
    </row>
    <row r="155" spans="1:6">
      <c r="A155" s="11">
        <v>870</v>
      </c>
      <c r="B155" s="9">
        <v>10399.3372883364</v>
      </c>
      <c r="C155" s="9">
        <v>9677.16108775753</v>
      </c>
      <c r="D155" s="9">
        <v>8954.98488717861</v>
      </c>
      <c r="E155" s="9">
        <v>8232.80868659969</v>
      </c>
      <c r="F155" s="9">
        <v>7510.63248602077</v>
      </c>
    </row>
    <row r="156" spans="1:6">
      <c r="A156" s="11">
        <v>880</v>
      </c>
      <c r="B156" s="9">
        <v>10316.3265067632</v>
      </c>
      <c r="C156" s="9">
        <v>9609.72880082055</v>
      </c>
      <c r="D156" s="9">
        <v>8903.13109487786</v>
      </c>
      <c r="E156" s="9">
        <v>8196.53338893518</v>
      </c>
      <c r="F156" s="9">
        <v>7489.93568299249</v>
      </c>
    </row>
    <row r="157" spans="1:6">
      <c r="A157" s="11">
        <v>890</v>
      </c>
      <c r="B157" s="9">
        <v>10234.579602149</v>
      </c>
      <c r="C157" s="9">
        <v>9543.05395335517</v>
      </c>
      <c r="D157" s="9">
        <v>8851.52830456132</v>
      </c>
      <c r="E157" s="9">
        <v>8160.00265576747</v>
      </c>
      <c r="F157" s="9">
        <v>7468.47700697361</v>
      </c>
    </row>
    <row r="158" spans="1:6">
      <c r="A158" s="11">
        <v>900</v>
      </c>
      <c r="B158" s="9">
        <v>10154.0722358813</v>
      </c>
      <c r="C158" s="9">
        <v>9477.13408682258</v>
      </c>
      <c r="D158" s="9">
        <v>8800.19593776383</v>
      </c>
      <c r="E158" s="9">
        <v>8123.25778870507</v>
      </c>
      <c r="F158" s="9">
        <v>7446.31963964632</v>
      </c>
    </row>
    <row r="159" spans="1:6">
      <c r="A159" s="11">
        <v>910</v>
      </c>
      <c r="B159" s="9">
        <v>10074.7804130306</v>
      </c>
      <c r="C159" s="9">
        <v>9411.96591217328</v>
      </c>
      <c r="D159" s="9">
        <v>8749.15141131601</v>
      </c>
      <c r="E159" s="9">
        <v>8086.33691045873</v>
      </c>
      <c r="F159" s="9">
        <v>7423.52240960146</v>
      </c>
    </row>
    <row r="160" spans="1:6">
      <c r="A160" s="11">
        <v>920</v>
      </c>
      <c r="B160" s="9">
        <v>9996.68050107396</v>
      </c>
      <c r="C160" s="9">
        <v>9347.54540360163</v>
      </c>
      <c r="D160" s="9">
        <v>8698.41030612929</v>
      </c>
      <c r="E160" s="9">
        <v>8049.27520865696</v>
      </c>
      <c r="F160" s="9">
        <v>7400.14011118462</v>
      </c>
    </row>
    <row r="161" spans="1:6">
      <c r="A161" s="11">
        <v>930</v>
      </c>
      <c r="B161" s="9">
        <v>9919.7492450993</v>
      </c>
      <c r="C161" s="9">
        <v>9283.86788323396</v>
      </c>
      <c r="D161" s="9">
        <v>8647.98652136862</v>
      </c>
      <c r="E161" s="9">
        <v>8012.10515950329</v>
      </c>
      <c r="F161" s="9">
        <v>7376.22379763795</v>
      </c>
    </row>
    <row r="162" spans="1:6">
      <c r="A162" s="11">
        <v>940</v>
      </c>
      <c r="B162" s="9">
        <v>9843.9637799155</v>
      </c>
      <c r="C162" s="9">
        <v>9220.92809764236</v>
      </c>
      <c r="D162" s="9">
        <v>8597.89241536923</v>
      </c>
      <c r="E162" s="9">
        <v>7974.8567330961</v>
      </c>
      <c r="F162" s="9">
        <v>7351.82105082297</v>
      </c>
    </row>
    <row r="163" spans="1:6">
      <c r="A163" s="11">
        <v>950</v>
      </c>
      <c r="B163" s="9">
        <v>9769.30163945002</v>
      </c>
      <c r="C163" s="9">
        <v>9158.72028698439</v>
      </c>
      <c r="D163" s="9">
        <v>8548.13893451877</v>
      </c>
      <c r="E163" s="9">
        <v>7937.55758205314</v>
      </c>
      <c r="F163" s="9">
        <v>7326.97622958751</v>
      </c>
    </row>
    <row r="164" spans="1:6">
      <c r="A164" s="11">
        <v>960</v>
      </c>
      <c r="B164" s="9">
        <v>9695.74076376744</v>
      </c>
      <c r="C164" s="9">
        <v>9097.2382474855</v>
      </c>
      <c r="D164" s="9">
        <v>8498.73573120355</v>
      </c>
      <c r="E164" s="9">
        <v>7900.23321492161</v>
      </c>
      <c r="F164" s="9">
        <v>7301.73069863967</v>
      </c>
    </row>
    <row r="165" spans="1:6">
      <c r="A165" s="11">
        <v>970</v>
      </c>
      <c r="B165" s="9">
        <v>9623.25950400575</v>
      </c>
      <c r="C165" s="9">
        <v>9036.47538790783</v>
      </c>
      <c r="D165" s="9">
        <v>8449.69127180992</v>
      </c>
      <c r="E165" s="9">
        <v>7862.90715571201</v>
      </c>
      <c r="F165" s="9">
        <v>7276.1230396141</v>
      </c>
    </row>
    <row r="166" spans="1:6">
      <c r="A166" s="11">
        <v>980</v>
      </c>
      <c r="B166" s="9">
        <v>9551.83662549289</v>
      </c>
      <c r="C166" s="9">
        <v>8976.42478058368</v>
      </c>
      <c r="D166" s="9">
        <v>8401.01293567447</v>
      </c>
      <c r="E166" s="9">
        <v>7825.60109076526</v>
      </c>
      <c r="F166" s="9">
        <v>7250.18924585605</v>
      </c>
    </row>
    <row r="167" spans="1:6">
      <c r="A167" s="11">
        <v>990</v>
      </c>
      <c r="B167" s="9">
        <v>9481.4513092755</v>
      </c>
      <c r="C167" s="9">
        <v>8917.07920753291</v>
      </c>
      <c r="D167" s="9">
        <v>8352.70710579032</v>
      </c>
      <c r="E167" s="9">
        <v>7788.33500404773</v>
      </c>
      <c r="F167" s="9">
        <v>7223.96290230514</v>
      </c>
    </row>
    <row r="168" spans="1:6">
      <c r="A168" s="11">
        <v>1000</v>
      </c>
      <c r="B168" s="9">
        <v>9412.08315226581</v>
      </c>
      <c r="C168" s="9">
        <v>8858.43120213253</v>
      </c>
      <c r="D168" s="9">
        <v>8304.77925199924</v>
      </c>
      <c r="E168" s="9">
        <v>7751.12730186596</v>
      </c>
      <c r="F168" s="9">
        <v>7197.47535173268</v>
      </c>
    </row>
  </sheetData>
  <conditionalFormatting sqref="B26:B60">
    <cfRule type="cellIs" dxfId="0" priority="2" operator="equal">
      <formula>MAX($B$26:$B$60)</formula>
    </cfRule>
  </conditionalFormatting>
  <conditionalFormatting sqref="B84:F168">
    <cfRule type="cellIs" dxfId="0" priority="1" operator="equal">
      <formula>B$79</formula>
    </cfRule>
  </conditionalFormatting>
  <printOptions headings="1" gridLines="1"/>
  <pageMargins left="0.75" right="0.75" top="1" bottom="1" header="0.5" footer="0.5"/>
  <pageSetup paperSize="1" scale="26" orientation="portrait" horizontalDpi="1200" verticalDpi="12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Estimation</vt:lpstr>
      <vt:lpstr>Profit Model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cp:lastModifiedBy>PS:</cp:lastModifiedBy>
  <dcterms:created xsi:type="dcterms:W3CDTF">2007-05-15T19:57:00Z</dcterms:created>
  <cp:lastPrinted>2007-09-30T21:58:00Z</cp:lastPrinted>
  <dcterms:modified xsi:type="dcterms:W3CDTF">2025-11-23T04:14:33Z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F5D197E75D484F41B2C48CCF0A5DCDB3_12</vt:lpwstr>
  </property>
  <property fmtid="{D5CDD505-2E9C-101B-9397-08002B2CF9AE}" pid="3" name="KSOProductBuildVer">
    <vt:lpwstr>2052-12.1.0.23542</vt:lpwstr>
  </property>
</Properties>
</file>