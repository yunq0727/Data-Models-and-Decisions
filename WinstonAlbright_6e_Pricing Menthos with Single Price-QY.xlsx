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500"/>
  </bookViews>
  <sheets>
    <sheet name="Model" sheetId="2" r:id="rId1"/>
  </sheets>
  <definedNames>
    <definedName name="solver_cvg" localSheetId="0" hidden="1">0.0001</definedName>
    <definedName name="solver_drv" localSheetId="0" hidden="1">1</definedName>
    <definedName name="solver_eng" localSheetId="0" hidden="1">3</definedName>
    <definedName name="solver_itr" localSheetId="0" hidden="1">2147483647</definedName>
    <definedName name="solver_lhs1" localSheetId="0" hidden="1">Model!$B$19</definedName>
    <definedName name="solver_lhs2" localSheetId="0" hidden="1">Model!$B$19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1.5</definedName>
    <definedName name="solver_rhs2" localSheetId="0" hidden="1">0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  <definedName name="Unit_cost">Model!$B$17</definedName>
    <definedName name="Unit_price">Model!$B$19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yunqi</author>
  </authors>
  <commentList>
    <comment ref="H15" authorId="0">
      <text>
        <r>
          <rPr>
            <b/>
            <sz val="9"/>
            <rFont val="宋体"/>
            <charset val="134"/>
          </rPr>
          <t>yunqi:</t>
        </r>
        <r>
          <rPr>
            <sz val="9"/>
            <rFont val="宋体"/>
            <charset val="134"/>
          </rPr>
          <t xml:space="preserve">
第一个顾客买10个愿意花7.26</t>
        </r>
      </text>
    </comment>
    <comment ref="B17" authorId="0">
      <text>
        <r>
          <rPr>
            <b/>
            <sz val="9"/>
            <rFont val="宋体"/>
            <charset val="134"/>
          </rPr>
          <t>yunqi:</t>
        </r>
        <r>
          <rPr>
            <sz val="9"/>
            <rFont val="宋体"/>
            <charset val="134"/>
          </rPr>
          <t xml:space="preserve">
成本</t>
        </r>
      </text>
    </comment>
    <comment ref="E18" authorId="0">
      <text>
        <r>
          <rPr>
            <b/>
            <sz val="9"/>
            <rFont val="宋体"/>
            <charset val="134"/>
          </rPr>
          <t>yunqi:</t>
        </r>
        <r>
          <rPr>
            <sz val="9"/>
            <rFont val="宋体"/>
            <charset val="134"/>
          </rPr>
          <t xml:space="preserve">
产品实际需要支付的价格</t>
        </r>
      </text>
    </comment>
    <comment ref="H18" authorId="0">
      <text>
        <r>
          <rPr>
            <b/>
            <sz val="9"/>
            <rFont val="宋体"/>
            <charset val="134"/>
          </rPr>
          <t>yunqi:如果是正数，客户有购买欲望，负数是失去购买欲望</t>
        </r>
      </text>
    </comment>
    <comment ref="B19" authorId="0">
      <text>
        <r>
          <rPr>
            <b/>
            <sz val="9"/>
            <rFont val="宋体"/>
            <charset val="134"/>
          </rPr>
          <t>yunqi:</t>
        </r>
        <r>
          <rPr>
            <sz val="9"/>
            <rFont val="宋体"/>
            <charset val="134"/>
          </rPr>
          <t xml:space="preserve">
产品的定价，假设值</t>
        </r>
      </text>
    </comment>
    <comment ref="H19" authorId="0">
      <text>
        <r>
          <rPr>
            <b/>
            <sz val="9"/>
            <rFont val="宋体"/>
            <charset val="134"/>
          </rPr>
          <t>yunqi:</t>
        </r>
        <r>
          <rPr>
            <sz val="9"/>
            <rFont val="宋体"/>
            <charset val="134"/>
          </rPr>
          <t xml:space="preserve">
</t>
        </r>
      </text>
    </comment>
    <comment ref="A30" authorId="0">
      <text>
        <r>
          <rPr>
            <b/>
            <sz val="9"/>
            <rFont val="宋体"/>
            <charset val="134"/>
          </rPr>
          <t>yunqi:</t>
        </r>
        <r>
          <rPr>
            <sz val="9"/>
            <rFont val="宋体"/>
            <charset val="134"/>
          </rPr>
          <t xml:space="preserve">
客户行为</t>
        </r>
      </text>
    </comment>
    <comment ref="A32" authorId="0">
      <text>
        <r>
          <rPr>
            <b/>
            <sz val="9"/>
            <rFont val="宋体"/>
            <charset val="134"/>
          </rPr>
          <t>yunqi:</t>
        </r>
        <r>
          <rPr>
            <sz val="9"/>
            <rFont val="宋体"/>
            <charset val="134"/>
          </rPr>
          <t xml:space="preserve">
客户购买最大值</t>
        </r>
      </text>
    </comment>
    <comment ref="A33" authorId="0">
      <text>
        <r>
          <rPr>
            <b/>
            <sz val="9"/>
            <rFont val="宋体"/>
            <charset val="134"/>
          </rPr>
          <t>yunqi:</t>
        </r>
        <r>
          <rPr>
            <sz val="9"/>
            <rFont val="宋体"/>
            <charset val="134"/>
          </rPr>
          <t xml:space="preserve">
计算购买数量</t>
        </r>
      </text>
    </comment>
    <comment ref="A34" authorId="0">
      <text>
        <r>
          <rPr>
            <b/>
            <sz val="9"/>
            <rFont val="宋体"/>
            <charset val="134"/>
          </rPr>
          <t>yunqi:</t>
        </r>
        <r>
          <rPr>
            <sz val="9"/>
            <rFont val="宋体"/>
            <charset val="134"/>
          </rPr>
          <t xml:space="preserve">
假设的愿意购买这一类商品的客户数量，以千为</t>
        </r>
      </text>
    </comment>
    <comment ref="B37" authorId="0">
      <text>
        <r>
          <rPr>
            <b/>
            <sz val="9"/>
            <rFont val="宋体"/>
            <charset val="134"/>
          </rPr>
          <t>yunqi:</t>
        </r>
        <r>
          <rPr>
            <sz val="9"/>
            <rFont val="宋体"/>
            <charset val="134"/>
          </rPr>
          <t xml:space="preserve">
这个产品的利润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<sst xmlns="http://schemas.openxmlformats.org/spreadsheetml/2006/main" count="36" uniqueCount="22">
  <si>
    <t>Pricing Menthos - single price model</t>
  </si>
  <si>
    <t>Price sensitivity of four types of customers</t>
  </si>
  <si>
    <t>Total value of purchases</t>
  </si>
  <si>
    <t>Price willing to pay (or marginal value of packs)</t>
  </si>
  <si>
    <t>Total value from this many packs</t>
  </si>
  <si>
    <t>Pack #</t>
  </si>
  <si>
    <t>Customer 1</t>
  </si>
  <si>
    <t>Customer 2</t>
  </si>
  <si>
    <t>Customer 3</t>
  </si>
  <si>
    <t>Customer 4</t>
  </si>
  <si>
    <t># of packs</t>
  </si>
  <si>
    <t>Unit cost</t>
  </si>
  <si>
    <t>Total price of packs</t>
  </si>
  <si>
    <t>Surplus (value minus cost) from purchasing</t>
  </si>
  <si>
    <t>Total price</t>
  </si>
  <si>
    <t>Unit price</t>
  </si>
  <si>
    <t>Customer behavior</t>
  </si>
  <si>
    <t>Max surplus</t>
  </si>
  <si>
    <t># purchased</t>
  </si>
  <si>
    <t>Market size (1000s)</t>
  </si>
  <si>
    <t>Total purchased (1000s)</t>
  </si>
  <si>
    <t>Profit ($1000s)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</si>
</sst>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.00;\-&quot;$&quot;#,##0.00"/>
    <numFmt numFmtId="177" formatCode="0.000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2" fillId="0" borderId="0"/>
  </cellStyleXfs>
  <cellXfs count="11">
    <xf numFmtId="0" fontId="0" fillId="0" borderId="0" xfId="0"/>
    <xf numFmtId="0" fontId="1" fillId="0" borderId="0" xfId="49" applyFont="1"/>
    <xf numFmtId="0" fontId="2" fillId="0" borderId="0" xfId="49" applyFont="1"/>
    <xf numFmtId="0" fontId="1" fillId="0" borderId="0" xfId="49" applyFont="1" applyAlignment="1">
      <alignment horizontal="center"/>
    </xf>
    <xf numFmtId="0" fontId="1" fillId="0" borderId="0" xfId="49" applyFont="1" applyAlignment="1">
      <alignment horizontal="right"/>
    </xf>
    <xf numFmtId="2" fontId="1" fillId="2" borderId="0" xfId="49" applyNumberFormat="1" applyFont="1" applyFill="1"/>
    <xf numFmtId="2" fontId="1" fillId="0" borderId="0" xfId="49" applyNumberFormat="1" applyFont="1"/>
    <xf numFmtId="176" fontId="1" fillId="2" borderId="0" xfId="49" applyNumberFormat="1" applyFont="1" applyFill="1"/>
    <xf numFmtId="176" fontId="1" fillId="3" borderId="0" xfId="49" applyNumberFormat="1" applyFont="1" applyFill="1"/>
    <xf numFmtId="0" fontId="1" fillId="2" borderId="0" xfId="49" applyFont="1" applyFill="1"/>
    <xf numFmtId="177" fontId="1" fillId="4" borderId="0" xfId="49" applyNumberFormat="1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37"/>
  <sheetViews>
    <sheetView tabSelected="1" zoomScale="160" zoomScaleNormal="160" topLeftCell="A25" workbookViewId="0">
      <selection activeCell="H36" sqref="H36"/>
    </sheetView>
  </sheetViews>
  <sheetFormatPr defaultColWidth="8.83333333333333" defaultRowHeight="14.4"/>
  <cols>
    <col min="1" max="1" width="18.8333333333333" style="1" customWidth="1"/>
    <col min="2" max="5" width="12.6666666666667" style="1" customWidth="1"/>
    <col min="6" max="6" width="9.16666666666667" style="1"/>
    <col min="7" max="7" width="9.83333333333333" style="1" customWidth="1"/>
    <col min="8" max="11" width="12.6666666666667" style="1" customWidth="1"/>
    <col min="12" max="256" width="9.16666666666667" style="1"/>
    <col min="257" max="257" width="21" style="1" customWidth="1"/>
    <col min="258" max="258" width="10.6666666666667" style="1" customWidth="1"/>
    <col min="259" max="261" width="10.5" style="1" customWidth="1"/>
    <col min="262" max="262" width="9.16666666666667" style="1"/>
    <col min="263" max="263" width="9.83333333333333" style="1" customWidth="1"/>
    <col min="264" max="267" width="10.5" style="1" customWidth="1"/>
    <col min="268" max="512" width="9.16666666666667" style="1"/>
    <col min="513" max="513" width="21" style="1" customWidth="1"/>
    <col min="514" max="514" width="10.6666666666667" style="1" customWidth="1"/>
    <col min="515" max="517" width="10.5" style="1" customWidth="1"/>
    <col min="518" max="518" width="9.16666666666667" style="1"/>
    <col min="519" max="519" width="9.83333333333333" style="1" customWidth="1"/>
    <col min="520" max="523" width="10.5" style="1" customWidth="1"/>
    <col min="524" max="768" width="9.16666666666667" style="1"/>
    <col min="769" max="769" width="21" style="1" customWidth="1"/>
    <col min="770" max="770" width="10.6666666666667" style="1" customWidth="1"/>
    <col min="771" max="773" width="10.5" style="1" customWidth="1"/>
    <col min="774" max="774" width="9.16666666666667" style="1"/>
    <col min="775" max="775" width="9.83333333333333" style="1" customWidth="1"/>
    <col min="776" max="779" width="10.5" style="1" customWidth="1"/>
    <col min="780" max="1024" width="9.16666666666667" style="1"/>
    <col min="1025" max="1025" width="21" style="1" customWidth="1"/>
    <col min="1026" max="1026" width="10.6666666666667" style="1" customWidth="1"/>
    <col min="1027" max="1029" width="10.5" style="1" customWidth="1"/>
    <col min="1030" max="1030" width="9.16666666666667" style="1"/>
    <col min="1031" max="1031" width="9.83333333333333" style="1" customWidth="1"/>
    <col min="1032" max="1035" width="10.5" style="1" customWidth="1"/>
    <col min="1036" max="1280" width="9.16666666666667" style="1"/>
    <col min="1281" max="1281" width="21" style="1" customWidth="1"/>
    <col min="1282" max="1282" width="10.6666666666667" style="1" customWidth="1"/>
    <col min="1283" max="1285" width="10.5" style="1" customWidth="1"/>
    <col min="1286" max="1286" width="9.16666666666667" style="1"/>
    <col min="1287" max="1287" width="9.83333333333333" style="1" customWidth="1"/>
    <col min="1288" max="1291" width="10.5" style="1" customWidth="1"/>
    <col min="1292" max="1536" width="9.16666666666667" style="1"/>
    <col min="1537" max="1537" width="21" style="1" customWidth="1"/>
    <col min="1538" max="1538" width="10.6666666666667" style="1" customWidth="1"/>
    <col min="1539" max="1541" width="10.5" style="1" customWidth="1"/>
    <col min="1542" max="1542" width="9.16666666666667" style="1"/>
    <col min="1543" max="1543" width="9.83333333333333" style="1" customWidth="1"/>
    <col min="1544" max="1547" width="10.5" style="1" customWidth="1"/>
    <col min="1548" max="1792" width="9.16666666666667" style="1"/>
    <col min="1793" max="1793" width="21" style="1" customWidth="1"/>
    <col min="1794" max="1794" width="10.6666666666667" style="1" customWidth="1"/>
    <col min="1795" max="1797" width="10.5" style="1" customWidth="1"/>
    <col min="1798" max="1798" width="9.16666666666667" style="1"/>
    <col min="1799" max="1799" width="9.83333333333333" style="1" customWidth="1"/>
    <col min="1800" max="1803" width="10.5" style="1" customWidth="1"/>
    <col min="1804" max="2048" width="9.16666666666667" style="1"/>
    <col min="2049" max="2049" width="21" style="1" customWidth="1"/>
    <col min="2050" max="2050" width="10.6666666666667" style="1" customWidth="1"/>
    <col min="2051" max="2053" width="10.5" style="1" customWidth="1"/>
    <col min="2054" max="2054" width="9.16666666666667" style="1"/>
    <col min="2055" max="2055" width="9.83333333333333" style="1" customWidth="1"/>
    <col min="2056" max="2059" width="10.5" style="1" customWidth="1"/>
    <col min="2060" max="2304" width="9.16666666666667" style="1"/>
    <col min="2305" max="2305" width="21" style="1" customWidth="1"/>
    <col min="2306" max="2306" width="10.6666666666667" style="1" customWidth="1"/>
    <col min="2307" max="2309" width="10.5" style="1" customWidth="1"/>
    <col min="2310" max="2310" width="9.16666666666667" style="1"/>
    <col min="2311" max="2311" width="9.83333333333333" style="1" customWidth="1"/>
    <col min="2312" max="2315" width="10.5" style="1" customWidth="1"/>
    <col min="2316" max="2560" width="9.16666666666667" style="1"/>
    <col min="2561" max="2561" width="21" style="1" customWidth="1"/>
    <col min="2562" max="2562" width="10.6666666666667" style="1" customWidth="1"/>
    <col min="2563" max="2565" width="10.5" style="1" customWidth="1"/>
    <col min="2566" max="2566" width="9.16666666666667" style="1"/>
    <col min="2567" max="2567" width="9.83333333333333" style="1" customWidth="1"/>
    <col min="2568" max="2571" width="10.5" style="1" customWidth="1"/>
    <col min="2572" max="2816" width="9.16666666666667" style="1"/>
    <col min="2817" max="2817" width="21" style="1" customWidth="1"/>
    <col min="2818" max="2818" width="10.6666666666667" style="1" customWidth="1"/>
    <col min="2819" max="2821" width="10.5" style="1" customWidth="1"/>
    <col min="2822" max="2822" width="9.16666666666667" style="1"/>
    <col min="2823" max="2823" width="9.83333333333333" style="1" customWidth="1"/>
    <col min="2824" max="2827" width="10.5" style="1" customWidth="1"/>
    <col min="2828" max="3072" width="9.16666666666667" style="1"/>
    <col min="3073" max="3073" width="21" style="1" customWidth="1"/>
    <col min="3074" max="3074" width="10.6666666666667" style="1" customWidth="1"/>
    <col min="3075" max="3077" width="10.5" style="1" customWidth="1"/>
    <col min="3078" max="3078" width="9.16666666666667" style="1"/>
    <col min="3079" max="3079" width="9.83333333333333" style="1" customWidth="1"/>
    <col min="3080" max="3083" width="10.5" style="1" customWidth="1"/>
    <col min="3084" max="3328" width="9.16666666666667" style="1"/>
    <col min="3329" max="3329" width="21" style="1" customWidth="1"/>
    <col min="3330" max="3330" width="10.6666666666667" style="1" customWidth="1"/>
    <col min="3331" max="3333" width="10.5" style="1" customWidth="1"/>
    <col min="3334" max="3334" width="9.16666666666667" style="1"/>
    <col min="3335" max="3335" width="9.83333333333333" style="1" customWidth="1"/>
    <col min="3336" max="3339" width="10.5" style="1" customWidth="1"/>
    <col min="3340" max="3584" width="9.16666666666667" style="1"/>
    <col min="3585" max="3585" width="21" style="1" customWidth="1"/>
    <col min="3586" max="3586" width="10.6666666666667" style="1" customWidth="1"/>
    <col min="3587" max="3589" width="10.5" style="1" customWidth="1"/>
    <col min="3590" max="3590" width="9.16666666666667" style="1"/>
    <col min="3591" max="3591" width="9.83333333333333" style="1" customWidth="1"/>
    <col min="3592" max="3595" width="10.5" style="1" customWidth="1"/>
    <col min="3596" max="3840" width="9.16666666666667" style="1"/>
    <col min="3841" max="3841" width="21" style="1" customWidth="1"/>
    <col min="3842" max="3842" width="10.6666666666667" style="1" customWidth="1"/>
    <col min="3843" max="3845" width="10.5" style="1" customWidth="1"/>
    <col min="3846" max="3846" width="9.16666666666667" style="1"/>
    <col min="3847" max="3847" width="9.83333333333333" style="1" customWidth="1"/>
    <col min="3848" max="3851" width="10.5" style="1" customWidth="1"/>
    <col min="3852" max="4096" width="9.16666666666667" style="1"/>
    <col min="4097" max="4097" width="21" style="1" customWidth="1"/>
    <col min="4098" max="4098" width="10.6666666666667" style="1" customWidth="1"/>
    <col min="4099" max="4101" width="10.5" style="1" customWidth="1"/>
    <col min="4102" max="4102" width="9.16666666666667" style="1"/>
    <col min="4103" max="4103" width="9.83333333333333" style="1" customWidth="1"/>
    <col min="4104" max="4107" width="10.5" style="1" customWidth="1"/>
    <col min="4108" max="4352" width="9.16666666666667" style="1"/>
    <col min="4353" max="4353" width="21" style="1" customWidth="1"/>
    <col min="4354" max="4354" width="10.6666666666667" style="1" customWidth="1"/>
    <col min="4355" max="4357" width="10.5" style="1" customWidth="1"/>
    <col min="4358" max="4358" width="9.16666666666667" style="1"/>
    <col min="4359" max="4359" width="9.83333333333333" style="1" customWidth="1"/>
    <col min="4360" max="4363" width="10.5" style="1" customWidth="1"/>
    <col min="4364" max="4608" width="9.16666666666667" style="1"/>
    <col min="4609" max="4609" width="21" style="1" customWidth="1"/>
    <col min="4610" max="4610" width="10.6666666666667" style="1" customWidth="1"/>
    <col min="4611" max="4613" width="10.5" style="1" customWidth="1"/>
    <col min="4614" max="4614" width="9.16666666666667" style="1"/>
    <col min="4615" max="4615" width="9.83333333333333" style="1" customWidth="1"/>
    <col min="4616" max="4619" width="10.5" style="1" customWidth="1"/>
    <col min="4620" max="4864" width="9.16666666666667" style="1"/>
    <col min="4865" max="4865" width="21" style="1" customWidth="1"/>
    <col min="4866" max="4866" width="10.6666666666667" style="1" customWidth="1"/>
    <col min="4867" max="4869" width="10.5" style="1" customWidth="1"/>
    <col min="4870" max="4870" width="9.16666666666667" style="1"/>
    <col min="4871" max="4871" width="9.83333333333333" style="1" customWidth="1"/>
    <col min="4872" max="4875" width="10.5" style="1" customWidth="1"/>
    <col min="4876" max="5120" width="9.16666666666667" style="1"/>
    <col min="5121" max="5121" width="21" style="1" customWidth="1"/>
    <col min="5122" max="5122" width="10.6666666666667" style="1" customWidth="1"/>
    <col min="5123" max="5125" width="10.5" style="1" customWidth="1"/>
    <col min="5126" max="5126" width="9.16666666666667" style="1"/>
    <col min="5127" max="5127" width="9.83333333333333" style="1" customWidth="1"/>
    <col min="5128" max="5131" width="10.5" style="1" customWidth="1"/>
    <col min="5132" max="5376" width="9.16666666666667" style="1"/>
    <col min="5377" max="5377" width="21" style="1" customWidth="1"/>
    <col min="5378" max="5378" width="10.6666666666667" style="1" customWidth="1"/>
    <col min="5379" max="5381" width="10.5" style="1" customWidth="1"/>
    <col min="5382" max="5382" width="9.16666666666667" style="1"/>
    <col min="5383" max="5383" width="9.83333333333333" style="1" customWidth="1"/>
    <col min="5384" max="5387" width="10.5" style="1" customWidth="1"/>
    <col min="5388" max="5632" width="9.16666666666667" style="1"/>
    <col min="5633" max="5633" width="21" style="1" customWidth="1"/>
    <col min="5634" max="5634" width="10.6666666666667" style="1" customWidth="1"/>
    <col min="5635" max="5637" width="10.5" style="1" customWidth="1"/>
    <col min="5638" max="5638" width="9.16666666666667" style="1"/>
    <col min="5639" max="5639" width="9.83333333333333" style="1" customWidth="1"/>
    <col min="5640" max="5643" width="10.5" style="1" customWidth="1"/>
    <col min="5644" max="5888" width="9.16666666666667" style="1"/>
    <col min="5889" max="5889" width="21" style="1" customWidth="1"/>
    <col min="5890" max="5890" width="10.6666666666667" style="1" customWidth="1"/>
    <col min="5891" max="5893" width="10.5" style="1" customWidth="1"/>
    <col min="5894" max="5894" width="9.16666666666667" style="1"/>
    <col min="5895" max="5895" width="9.83333333333333" style="1" customWidth="1"/>
    <col min="5896" max="5899" width="10.5" style="1" customWidth="1"/>
    <col min="5900" max="6144" width="9.16666666666667" style="1"/>
    <col min="6145" max="6145" width="21" style="1" customWidth="1"/>
    <col min="6146" max="6146" width="10.6666666666667" style="1" customWidth="1"/>
    <col min="6147" max="6149" width="10.5" style="1" customWidth="1"/>
    <col min="6150" max="6150" width="9.16666666666667" style="1"/>
    <col min="6151" max="6151" width="9.83333333333333" style="1" customWidth="1"/>
    <col min="6152" max="6155" width="10.5" style="1" customWidth="1"/>
    <col min="6156" max="6400" width="9.16666666666667" style="1"/>
    <col min="6401" max="6401" width="21" style="1" customWidth="1"/>
    <col min="6402" max="6402" width="10.6666666666667" style="1" customWidth="1"/>
    <col min="6403" max="6405" width="10.5" style="1" customWidth="1"/>
    <col min="6406" max="6406" width="9.16666666666667" style="1"/>
    <col min="6407" max="6407" width="9.83333333333333" style="1" customWidth="1"/>
    <col min="6408" max="6411" width="10.5" style="1" customWidth="1"/>
    <col min="6412" max="6656" width="9.16666666666667" style="1"/>
    <col min="6657" max="6657" width="21" style="1" customWidth="1"/>
    <col min="6658" max="6658" width="10.6666666666667" style="1" customWidth="1"/>
    <col min="6659" max="6661" width="10.5" style="1" customWidth="1"/>
    <col min="6662" max="6662" width="9.16666666666667" style="1"/>
    <col min="6663" max="6663" width="9.83333333333333" style="1" customWidth="1"/>
    <col min="6664" max="6667" width="10.5" style="1" customWidth="1"/>
    <col min="6668" max="6912" width="9.16666666666667" style="1"/>
    <col min="6913" max="6913" width="21" style="1" customWidth="1"/>
    <col min="6914" max="6914" width="10.6666666666667" style="1" customWidth="1"/>
    <col min="6915" max="6917" width="10.5" style="1" customWidth="1"/>
    <col min="6918" max="6918" width="9.16666666666667" style="1"/>
    <col min="6919" max="6919" width="9.83333333333333" style="1" customWidth="1"/>
    <col min="6920" max="6923" width="10.5" style="1" customWidth="1"/>
    <col min="6924" max="7168" width="9.16666666666667" style="1"/>
    <col min="7169" max="7169" width="21" style="1" customWidth="1"/>
    <col min="7170" max="7170" width="10.6666666666667" style="1" customWidth="1"/>
    <col min="7171" max="7173" width="10.5" style="1" customWidth="1"/>
    <col min="7174" max="7174" width="9.16666666666667" style="1"/>
    <col min="7175" max="7175" width="9.83333333333333" style="1" customWidth="1"/>
    <col min="7176" max="7179" width="10.5" style="1" customWidth="1"/>
    <col min="7180" max="7424" width="9.16666666666667" style="1"/>
    <col min="7425" max="7425" width="21" style="1" customWidth="1"/>
    <col min="7426" max="7426" width="10.6666666666667" style="1" customWidth="1"/>
    <col min="7427" max="7429" width="10.5" style="1" customWidth="1"/>
    <col min="7430" max="7430" width="9.16666666666667" style="1"/>
    <col min="7431" max="7431" width="9.83333333333333" style="1" customWidth="1"/>
    <col min="7432" max="7435" width="10.5" style="1" customWidth="1"/>
    <col min="7436" max="7680" width="9.16666666666667" style="1"/>
    <col min="7681" max="7681" width="21" style="1" customWidth="1"/>
    <col min="7682" max="7682" width="10.6666666666667" style="1" customWidth="1"/>
    <col min="7683" max="7685" width="10.5" style="1" customWidth="1"/>
    <col min="7686" max="7686" width="9.16666666666667" style="1"/>
    <col min="7687" max="7687" width="9.83333333333333" style="1" customWidth="1"/>
    <col min="7688" max="7691" width="10.5" style="1" customWidth="1"/>
    <col min="7692" max="7936" width="9.16666666666667" style="1"/>
    <col min="7937" max="7937" width="21" style="1" customWidth="1"/>
    <col min="7938" max="7938" width="10.6666666666667" style="1" customWidth="1"/>
    <col min="7939" max="7941" width="10.5" style="1" customWidth="1"/>
    <col min="7942" max="7942" width="9.16666666666667" style="1"/>
    <col min="7943" max="7943" width="9.83333333333333" style="1" customWidth="1"/>
    <col min="7944" max="7947" width="10.5" style="1" customWidth="1"/>
    <col min="7948" max="8192" width="9.16666666666667" style="1"/>
    <col min="8193" max="8193" width="21" style="1" customWidth="1"/>
    <col min="8194" max="8194" width="10.6666666666667" style="1" customWidth="1"/>
    <col min="8195" max="8197" width="10.5" style="1" customWidth="1"/>
    <col min="8198" max="8198" width="9.16666666666667" style="1"/>
    <col min="8199" max="8199" width="9.83333333333333" style="1" customWidth="1"/>
    <col min="8200" max="8203" width="10.5" style="1" customWidth="1"/>
    <col min="8204" max="8448" width="9.16666666666667" style="1"/>
    <col min="8449" max="8449" width="21" style="1" customWidth="1"/>
    <col min="8450" max="8450" width="10.6666666666667" style="1" customWidth="1"/>
    <col min="8451" max="8453" width="10.5" style="1" customWidth="1"/>
    <col min="8454" max="8454" width="9.16666666666667" style="1"/>
    <col min="8455" max="8455" width="9.83333333333333" style="1" customWidth="1"/>
    <col min="8456" max="8459" width="10.5" style="1" customWidth="1"/>
    <col min="8460" max="8704" width="9.16666666666667" style="1"/>
    <col min="8705" max="8705" width="21" style="1" customWidth="1"/>
    <col min="8706" max="8706" width="10.6666666666667" style="1" customWidth="1"/>
    <col min="8707" max="8709" width="10.5" style="1" customWidth="1"/>
    <col min="8710" max="8710" width="9.16666666666667" style="1"/>
    <col min="8711" max="8711" width="9.83333333333333" style="1" customWidth="1"/>
    <col min="8712" max="8715" width="10.5" style="1" customWidth="1"/>
    <col min="8716" max="8960" width="9.16666666666667" style="1"/>
    <col min="8961" max="8961" width="21" style="1" customWidth="1"/>
    <col min="8962" max="8962" width="10.6666666666667" style="1" customWidth="1"/>
    <col min="8963" max="8965" width="10.5" style="1" customWidth="1"/>
    <col min="8966" max="8966" width="9.16666666666667" style="1"/>
    <col min="8967" max="8967" width="9.83333333333333" style="1" customWidth="1"/>
    <col min="8968" max="8971" width="10.5" style="1" customWidth="1"/>
    <col min="8972" max="9216" width="9.16666666666667" style="1"/>
    <col min="9217" max="9217" width="21" style="1" customWidth="1"/>
    <col min="9218" max="9218" width="10.6666666666667" style="1" customWidth="1"/>
    <col min="9219" max="9221" width="10.5" style="1" customWidth="1"/>
    <col min="9222" max="9222" width="9.16666666666667" style="1"/>
    <col min="9223" max="9223" width="9.83333333333333" style="1" customWidth="1"/>
    <col min="9224" max="9227" width="10.5" style="1" customWidth="1"/>
    <col min="9228" max="9472" width="9.16666666666667" style="1"/>
    <col min="9473" max="9473" width="21" style="1" customWidth="1"/>
    <col min="9474" max="9474" width="10.6666666666667" style="1" customWidth="1"/>
    <col min="9475" max="9477" width="10.5" style="1" customWidth="1"/>
    <col min="9478" max="9478" width="9.16666666666667" style="1"/>
    <col min="9479" max="9479" width="9.83333333333333" style="1" customWidth="1"/>
    <col min="9480" max="9483" width="10.5" style="1" customWidth="1"/>
    <col min="9484" max="9728" width="9.16666666666667" style="1"/>
    <col min="9729" max="9729" width="21" style="1" customWidth="1"/>
    <col min="9730" max="9730" width="10.6666666666667" style="1" customWidth="1"/>
    <col min="9731" max="9733" width="10.5" style="1" customWidth="1"/>
    <col min="9734" max="9734" width="9.16666666666667" style="1"/>
    <col min="9735" max="9735" width="9.83333333333333" style="1" customWidth="1"/>
    <col min="9736" max="9739" width="10.5" style="1" customWidth="1"/>
    <col min="9740" max="9984" width="9.16666666666667" style="1"/>
    <col min="9985" max="9985" width="21" style="1" customWidth="1"/>
    <col min="9986" max="9986" width="10.6666666666667" style="1" customWidth="1"/>
    <col min="9987" max="9989" width="10.5" style="1" customWidth="1"/>
    <col min="9990" max="9990" width="9.16666666666667" style="1"/>
    <col min="9991" max="9991" width="9.83333333333333" style="1" customWidth="1"/>
    <col min="9992" max="9995" width="10.5" style="1" customWidth="1"/>
    <col min="9996" max="10240" width="9.16666666666667" style="1"/>
    <col min="10241" max="10241" width="21" style="1" customWidth="1"/>
    <col min="10242" max="10242" width="10.6666666666667" style="1" customWidth="1"/>
    <col min="10243" max="10245" width="10.5" style="1" customWidth="1"/>
    <col min="10246" max="10246" width="9.16666666666667" style="1"/>
    <col min="10247" max="10247" width="9.83333333333333" style="1" customWidth="1"/>
    <col min="10248" max="10251" width="10.5" style="1" customWidth="1"/>
    <col min="10252" max="10496" width="9.16666666666667" style="1"/>
    <col min="10497" max="10497" width="21" style="1" customWidth="1"/>
    <col min="10498" max="10498" width="10.6666666666667" style="1" customWidth="1"/>
    <col min="10499" max="10501" width="10.5" style="1" customWidth="1"/>
    <col min="10502" max="10502" width="9.16666666666667" style="1"/>
    <col min="10503" max="10503" width="9.83333333333333" style="1" customWidth="1"/>
    <col min="10504" max="10507" width="10.5" style="1" customWidth="1"/>
    <col min="10508" max="10752" width="9.16666666666667" style="1"/>
    <col min="10753" max="10753" width="21" style="1" customWidth="1"/>
    <col min="10754" max="10754" width="10.6666666666667" style="1" customWidth="1"/>
    <col min="10755" max="10757" width="10.5" style="1" customWidth="1"/>
    <col min="10758" max="10758" width="9.16666666666667" style="1"/>
    <col min="10759" max="10759" width="9.83333333333333" style="1" customWidth="1"/>
    <col min="10760" max="10763" width="10.5" style="1" customWidth="1"/>
    <col min="10764" max="11008" width="9.16666666666667" style="1"/>
    <col min="11009" max="11009" width="21" style="1" customWidth="1"/>
    <col min="11010" max="11010" width="10.6666666666667" style="1" customWidth="1"/>
    <col min="11011" max="11013" width="10.5" style="1" customWidth="1"/>
    <col min="11014" max="11014" width="9.16666666666667" style="1"/>
    <col min="11015" max="11015" width="9.83333333333333" style="1" customWidth="1"/>
    <col min="11016" max="11019" width="10.5" style="1" customWidth="1"/>
    <col min="11020" max="11264" width="9.16666666666667" style="1"/>
    <col min="11265" max="11265" width="21" style="1" customWidth="1"/>
    <col min="11266" max="11266" width="10.6666666666667" style="1" customWidth="1"/>
    <col min="11267" max="11269" width="10.5" style="1" customWidth="1"/>
    <col min="11270" max="11270" width="9.16666666666667" style="1"/>
    <col min="11271" max="11271" width="9.83333333333333" style="1" customWidth="1"/>
    <col min="11272" max="11275" width="10.5" style="1" customWidth="1"/>
    <col min="11276" max="11520" width="9.16666666666667" style="1"/>
    <col min="11521" max="11521" width="21" style="1" customWidth="1"/>
    <col min="11522" max="11522" width="10.6666666666667" style="1" customWidth="1"/>
    <col min="11523" max="11525" width="10.5" style="1" customWidth="1"/>
    <col min="11526" max="11526" width="9.16666666666667" style="1"/>
    <col min="11527" max="11527" width="9.83333333333333" style="1" customWidth="1"/>
    <col min="11528" max="11531" width="10.5" style="1" customWidth="1"/>
    <col min="11532" max="11776" width="9.16666666666667" style="1"/>
    <col min="11777" max="11777" width="21" style="1" customWidth="1"/>
    <col min="11778" max="11778" width="10.6666666666667" style="1" customWidth="1"/>
    <col min="11779" max="11781" width="10.5" style="1" customWidth="1"/>
    <col min="11782" max="11782" width="9.16666666666667" style="1"/>
    <col min="11783" max="11783" width="9.83333333333333" style="1" customWidth="1"/>
    <col min="11784" max="11787" width="10.5" style="1" customWidth="1"/>
    <col min="11788" max="12032" width="9.16666666666667" style="1"/>
    <col min="12033" max="12033" width="21" style="1" customWidth="1"/>
    <col min="12034" max="12034" width="10.6666666666667" style="1" customWidth="1"/>
    <col min="12035" max="12037" width="10.5" style="1" customWidth="1"/>
    <col min="12038" max="12038" width="9.16666666666667" style="1"/>
    <col min="12039" max="12039" width="9.83333333333333" style="1" customWidth="1"/>
    <col min="12040" max="12043" width="10.5" style="1" customWidth="1"/>
    <col min="12044" max="12288" width="9.16666666666667" style="1"/>
    <col min="12289" max="12289" width="21" style="1" customWidth="1"/>
    <col min="12290" max="12290" width="10.6666666666667" style="1" customWidth="1"/>
    <col min="12291" max="12293" width="10.5" style="1" customWidth="1"/>
    <col min="12294" max="12294" width="9.16666666666667" style="1"/>
    <col min="12295" max="12295" width="9.83333333333333" style="1" customWidth="1"/>
    <col min="12296" max="12299" width="10.5" style="1" customWidth="1"/>
    <col min="12300" max="12544" width="9.16666666666667" style="1"/>
    <col min="12545" max="12545" width="21" style="1" customWidth="1"/>
    <col min="12546" max="12546" width="10.6666666666667" style="1" customWidth="1"/>
    <col min="12547" max="12549" width="10.5" style="1" customWidth="1"/>
    <col min="12550" max="12550" width="9.16666666666667" style="1"/>
    <col min="12551" max="12551" width="9.83333333333333" style="1" customWidth="1"/>
    <col min="12552" max="12555" width="10.5" style="1" customWidth="1"/>
    <col min="12556" max="12800" width="9.16666666666667" style="1"/>
    <col min="12801" max="12801" width="21" style="1" customWidth="1"/>
    <col min="12802" max="12802" width="10.6666666666667" style="1" customWidth="1"/>
    <col min="12803" max="12805" width="10.5" style="1" customWidth="1"/>
    <col min="12806" max="12806" width="9.16666666666667" style="1"/>
    <col min="12807" max="12807" width="9.83333333333333" style="1" customWidth="1"/>
    <col min="12808" max="12811" width="10.5" style="1" customWidth="1"/>
    <col min="12812" max="13056" width="9.16666666666667" style="1"/>
    <col min="13057" max="13057" width="21" style="1" customWidth="1"/>
    <col min="13058" max="13058" width="10.6666666666667" style="1" customWidth="1"/>
    <col min="13059" max="13061" width="10.5" style="1" customWidth="1"/>
    <col min="13062" max="13062" width="9.16666666666667" style="1"/>
    <col min="13063" max="13063" width="9.83333333333333" style="1" customWidth="1"/>
    <col min="13064" max="13067" width="10.5" style="1" customWidth="1"/>
    <col min="13068" max="13312" width="9.16666666666667" style="1"/>
    <col min="13313" max="13313" width="21" style="1" customWidth="1"/>
    <col min="13314" max="13314" width="10.6666666666667" style="1" customWidth="1"/>
    <col min="13315" max="13317" width="10.5" style="1" customWidth="1"/>
    <col min="13318" max="13318" width="9.16666666666667" style="1"/>
    <col min="13319" max="13319" width="9.83333333333333" style="1" customWidth="1"/>
    <col min="13320" max="13323" width="10.5" style="1" customWidth="1"/>
    <col min="13324" max="13568" width="9.16666666666667" style="1"/>
    <col min="13569" max="13569" width="21" style="1" customWidth="1"/>
    <col min="13570" max="13570" width="10.6666666666667" style="1" customWidth="1"/>
    <col min="13571" max="13573" width="10.5" style="1" customWidth="1"/>
    <col min="13574" max="13574" width="9.16666666666667" style="1"/>
    <col min="13575" max="13575" width="9.83333333333333" style="1" customWidth="1"/>
    <col min="13576" max="13579" width="10.5" style="1" customWidth="1"/>
    <col min="13580" max="13824" width="9.16666666666667" style="1"/>
    <col min="13825" max="13825" width="21" style="1" customWidth="1"/>
    <col min="13826" max="13826" width="10.6666666666667" style="1" customWidth="1"/>
    <col min="13827" max="13829" width="10.5" style="1" customWidth="1"/>
    <col min="13830" max="13830" width="9.16666666666667" style="1"/>
    <col min="13831" max="13831" width="9.83333333333333" style="1" customWidth="1"/>
    <col min="13832" max="13835" width="10.5" style="1" customWidth="1"/>
    <col min="13836" max="14080" width="9.16666666666667" style="1"/>
    <col min="14081" max="14081" width="21" style="1" customWidth="1"/>
    <col min="14082" max="14082" width="10.6666666666667" style="1" customWidth="1"/>
    <col min="14083" max="14085" width="10.5" style="1" customWidth="1"/>
    <col min="14086" max="14086" width="9.16666666666667" style="1"/>
    <col min="14087" max="14087" width="9.83333333333333" style="1" customWidth="1"/>
    <col min="14088" max="14091" width="10.5" style="1" customWidth="1"/>
    <col min="14092" max="14336" width="9.16666666666667" style="1"/>
    <col min="14337" max="14337" width="21" style="1" customWidth="1"/>
    <col min="14338" max="14338" width="10.6666666666667" style="1" customWidth="1"/>
    <col min="14339" max="14341" width="10.5" style="1" customWidth="1"/>
    <col min="14342" max="14342" width="9.16666666666667" style="1"/>
    <col min="14343" max="14343" width="9.83333333333333" style="1" customWidth="1"/>
    <col min="14344" max="14347" width="10.5" style="1" customWidth="1"/>
    <col min="14348" max="14592" width="9.16666666666667" style="1"/>
    <col min="14593" max="14593" width="21" style="1" customWidth="1"/>
    <col min="14594" max="14594" width="10.6666666666667" style="1" customWidth="1"/>
    <col min="14595" max="14597" width="10.5" style="1" customWidth="1"/>
    <col min="14598" max="14598" width="9.16666666666667" style="1"/>
    <col min="14599" max="14599" width="9.83333333333333" style="1" customWidth="1"/>
    <col min="14600" max="14603" width="10.5" style="1" customWidth="1"/>
    <col min="14604" max="14848" width="9.16666666666667" style="1"/>
    <col min="14849" max="14849" width="21" style="1" customWidth="1"/>
    <col min="14850" max="14850" width="10.6666666666667" style="1" customWidth="1"/>
    <col min="14851" max="14853" width="10.5" style="1" customWidth="1"/>
    <col min="14854" max="14854" width="9.16666666666667" style="1"/>
    <col min="14855" max="14855" width="9.83333333333333" style="1" customWidth="1"/>
    <col min="14856" max="14859" width="10.5" style="1" customWidth="1"/>
    <col min="14860" max="15104" width="9.16666666666667" style="1"/>
    <col min="15105" max="15105" width="21" style="1" customWidth="1"/>
    <col min="15106" max="15106" width="10.6666666666667" style="1" customWidth="1"/>
    <col min="15107" max="15109" width="10.5" style="1" customWidth="1"/>
    <col min="15110" max="15110" width="9.16666666666667" style="1"/>
    <col min="15111" max="15111" width="9.83333333333333" style="1" customWidth="1"/>
    <col min="15112" max="15115" width="10.5" style="1" customWidth="1"/>
    <col min="15116" max="15360" width="9.16666666666667" style="1"/>
    <col min="15361" max="15361" width="21" style="1" customWidth="1"/>
    <col min="15362" max="15362" width="10.6666666666667" style="1" customWidth="1"/>
    <col min="15363" max="15365" width="10.5" style="1" customWidth="1"/>
    <col min="15366" max="15366" width="9.16666666666667" style="1"/>
    <col min="15367" max="15367" width="9.83333333333333" style="1" customWidth="1"/>
    <col min="15368" max="15371" width="10.5" style="1" customWidth="1"/>
    <col min="15372" max="15616" width="9.16666666666667" style="1"/>
    <col min="15617" max="15617" width="21" style="1" customWidth="1"/>
    <col min="15618" max="15618" width="10.6666666666667" style="1" customWidth="1"/>
    <col min="15619" max="15621" width="10.5" style="1" customWidth="1"/>
    <col min="15622" max="15622" width="9.16666666666667" style="1"/>
    <col min="15623" max="15623" width="9.83333333333333" style="1" customWidth="1"/>
    <col min="15624" max="15627" width="10.5" style="1" customWidth="1"/>
    <col min="15628" max="15872" width="9.16666666666667" style="1"/>
    <col min="15873" max="15873" width="21" style="1" customWidth="1"/>
    <col min="15874" max="15874" width="10.6666666666667" style="1" customWidth="1"/>
    <col min="15875" max="15877" width="10.5" style="1" customWidth="1"/>
    <col min="15878" max="15878" width="9.16666666666667" style="1"/>
    <col min="15879" max="15879" width="9.83333333333333" style="1" customWidth="1"/>
    <col min="15880" max="15883" width="10.5" style="1" customWidth="1"/>
    <col min="15884" max="16128" width="9.16666666666667" style="1"/>
    <col min="16129" max="16129" width="21" style="1" customWidth="1"/>
    <col min="16130" max="16130" width="10.6666666666667" style="1" customWidth="1"/>
    <col min="16131" max="16133" width="10.5" style="1" customWidth="1"/>
    <col min="16134" max="16134" width="9.16666666666667" style="1"/>
    <col min="16135" max="16135" width="9.83333333333333" style="1" customWidth="1"/>
    <col min="16136" max="16139" width="10.5" style="1" customWidth="1"/>
    <col min="16140" max="16384" width="9.16666666666667" style="1"/>
  </cols>
  <sheetData>
    <row r="1" spans="1:11">
      <c r="A1" s="2" t="s">
        <v>0</v>
      </c>
    </row>
    <row r="3" spans="1:11">
      <c r="A3" s="2" t="s">
        <v>1</v>
      </c>
      <c r="G3" s="2" t="s">
        <v>2</v>
      </c>
    </row>
    <row r="4" spans="1:11">
      <c r="B4" s="1" t="s">
        <v>3</v>
      </c>
      <c r="H4" s="1" t="s">
        <v>4</v>
      </c>
    </row>
    <row r="5" spans="1:11">
      <c r="A5" s="3" t="s">
        <v>5</v>
      </c>
      <c r="B5" s="4" t="s">
        <v>6</v>
      </c>
      <c r="C5" s="4" t="s">
        <v>7</v>
      </c>
      <c r="D5" s="4" t="s">
        <v>8</v>
      </c>
      <c r="E5" s="4" t="s">
        <v>9</v>
      </c>
      <c r="G5" s="3" t="s">
        <v>10</v>
      </c>
      <c r="H5" s="4" t="s">
        <v>6</v>
      </c>
      <c r="I5" s="4" t="s">
        <v>7</v>
      </c>
      <c r="J5" s="4" t="s">
        <v>8</v>
      </c>
      <c r="K5" s="4" t="s">
        <v>9</v>
      </c>
    </row>
    <row r="6" spans="1:11">
      <c r="A6" s="3">
        <v>1</v>
      </c>
      <c r="B6" s="5">
        <v>1.24</v>
      </c>
      <c r="C6" s="5">
        <v>0.92</v>
      </c>
      <c r="D6" s="5">
        <v>1.27</v>
      </c>
      <c r="E6" s="5">
        <v>1.49</v>
      </c>
      <c r="G6" s="3">
        <v>1</v>
      </c>
      <c r="H6" s="6">
        <f>B6</f>
        <v>1.24</v>
      </c>
      <c r="I6" s="6">
        <f>C6</f>
        <v>0.92</v>
      </c>
      <c r="J6" s="6">
        <f>D6</f>
        <v>1.27</v>
      </c>
      <c r="K6" s="6">
        <f>E6</f>
        <v>1.49</v>
      </c>
    </row>
    <row r="7" spans="1:11">
      <c r="A7" s="3">
        <v>2</v>
      </c>
      <c r="B7" s="5">
        <v>1.03</v>
      </c>
      <c r="C7" s="5">
        <v>0.85</v>
      </c>
      <c r="D7" s="5">
        <v>1.11</v>
      </c>
      <c r="E7" s="5">
        <v>1.24</v>
      </c>
      <c r="G7" s="3">
        <v>2</v>
      </c>
      <c r="H7" s="6">
        <f>H6+B7</f>
        <v>2.27</v>
      </c>
      <c r="I7" s="6">
        <f>I6+C7</f>
        <v>1.77</v>
      </c>
      <c r="J7" s="6">
        <f>J6+D7</f>
        <v>2.38</v>
      </c>
      <c r="K7" s="6">
        <f>K6+E7</f>
        <v>2.73</v>
      </c>
    </row>
    <row r="8" spans="1:11">
      <c r="A8" s="3">
        <v>3</v>
      </c>
      <c r="B8" s="5">
        <v>0.89</v>
      </c>
      <c r="C8" s="5">
        <v>0.69</v>
      </c>
      <c r="D8" s="5">
        <v>0.96</v>
      </c>
      <c r="E8" s="5">
        <v>1.1</v>
      </c>
      <c r="G8" s="3">
        <v>3</v>
      </c>
      <c r="H8" s="6">
        <f t="shared" ref="H8:H15" si="0">H7+B8</f>
        <v>3.16</v>
      </c>
      <c r="I8" s="6">
        <f t="shared" ref="I8:I15" si="1">I7+C8</f>
        <v>2.46</v>
      </c>
      <c r="J8" s="6">
        <f t="shared" ref="J8:J15" si="2">J7+D8</f>
        <v>3.34</v>
      </c>
      <c r="K8" s="6">
        <f t="shared" ref="K8:K15" si="3">K7+E8</f>
        <v>3.83</v>
      </c>
    </row>
    <row r="9" spans="1:11">
      <c r="A9" s="3">
        <v>4</v>
      </c>
      <c r="B9" s="5">
        <v>0.8</v>
      </c>
      <c r="C9" s="5">
        <v>0.58</v>
      </c>
      <c r="D9" s="5">
        <v>0.85</v>
      </c>
      <c r="E9" s="5">
        <v>0.97</v>
      </c>
      <c r="G9" s="3">
        <v>4</v>
      </c>
      <c r="H9" s="6">
        <f t="shared" si="0"/>
        <v>3.96</v>
      </c>
      <c r="I9" s="6">
        <f t="shared" si="1"/>
        <v>3.04</v>
      </c>
      <c r="J9" s="6">
        <f t="shared" si="2"/>
        <v>4.19</v>
      </c>
      <c r="K9" s="6">
        <f t="shared" si="3"/>
        <v>4.8</v>
      </c>
    </row>
    <row r="10" spans="1:11">
      <c r="A10" s="3">
        <v>5</v>
      </c>
      <c r="B10" s="5">
        <v>0.77</v>
      </c>
      <c r="C10" s="5">
        <v>0.5</v>
      </c>
      <c r="D10" s="5">
        <v>0.73</v>
      </c>
      <c r="E10" s="5">
        <v>0.81</v>
      </c>
      <c r="G10" s="3">
        <v>5</v>
      </c>
      <c r="H10" s="6">
        <f t="shared" si="0"/>
        <v>4.73</v>
      </c>
      <c r="I10" s="6">
        <f t="shared" si="1"/>
        <v>3.54</v>
      </c>
      <c r="J10" s="6">
        <f t="shared" si="2"/>
        <v>4.92</v>
      </c>
      <c r="K10" s="6">
        <f t="shared" si="3"/>
        <v>5.61</v>
      </c>
    </row>
    <row r="11" spans="1:11">
      <c r="A11" s="3">
        <v>6</v>
      </c>
      <c r="B11" s="5">
        <v>0.66</v>
      </c>
      <c r="C11" s="5">
        <v>0.43</v>
      </c>
      <c r="D11" s="5">
        <v>0.63</v>
      </c>
      <c r="E11" s="5">
        <v>0.71</v>
      </c>
      <c r="G11" s="3">
        <v>6</v>
      </c>
      <c r="H11" s="6">
        <f t="shared" si="0"/>
        <v>5.39</v>
      </c>
      <c r="I11" s="6">
        <f t="shared" si="1"/>
        <v>3.97</v>
      </c>
      <c r="J11" s="6">
        <f t="shared" si="2"/>
        <v>5.55</v>
      </c>
      <c r="K11" s="6">
        <f t="shared" si="3"/>
        <v>6.32</v>
      </c>
    </row>
    <row r="12" spans="1:11">
      <c r="A12" s="3">
        <v>7</v>
      </c>
      <c r="B12" s="5">
        <v>0.59</v>
      </c>
      <c r="C12" s="5">
        <v>0.36</v>
      </c>
      <c r="D12" s="5">
        <v>0.51</v>
      </c>
      <c r="E12" s="5">
        <v>0.63</v>
      </c>
      <c r="G12" s="3">
        <v>7</v>
      </c>
      <c r="H12" s="6">
        <f t="shared" si="0"/>
        <v>5.98</v>
      </c>
      <c r="I12" s="6">
        <f t="shared" si="1"/>
        <v>4.33</v>
      </c>
      <c r="J12" s="6">
        <f t="shared" si="2"/>
        <v>6.06</v>
      </c>
      <c r="K12" s="6">
        <f t="shared" si="3"/>
        <v>6.95</v>
      </c>
    </row>
    <row r="13" spans="1:11">
      <c r="A13" s="3">
        <v>8</v>
      </c>
      <c r="B13" s="5">
        <v>0.51</v>
      </c>
      <c r="C13" s="5">
        <v>0.32</v>
      </c>
      <c r="D13" s="5">
        <v>0.45</v>
      </c>
      <c r="E13" s="5">
        <v>0.53</v>
      </c>
      <c r="G13" s="3">
        <v>8</v>
      </c>
      <c r="H13" s="6">
        <f t="shared" si="0"/>
        <v>6.49</v>
      </c>
      <c r="I13" s="6">
        <f t="shared" si="1"/>
        <v>4.65</v>
      </c>
      <c r="J13" s="6">
        <f t="shared" si="2"/>
        <v>6.51</v>
      </c>
      <c r="K13" s="6">
        <f t="shared" si="3"/>
        <v>7.48</v>
      </c>
    </row>
    <row r="14" spans="1:11">
      <c r="A14" s="3">
        <v>9</v>
      </c>
      <c r="B14" s="5">
        <v>0.42</v>
      </c>
      <c r="C14" s="5">
        <v>0.26</v>
      </c>
      <c r="D14" s="5">
        <v>0.39</v>
      </c>
      <c r="E14" s="5">
        <v>0.42</v>
      </c>
      <c r="G14" s="3">
        <v>9</v>
      </c>
      <c r="H14" s="6">
        <f t="shared" si="0"/>
        <v>6.91</v>
      </c>
      <c r="I14" s="6">
        <f t="shared" si="1"/>
        <v>4.91</v>
      </c>
      <c r="J14" s="6">
        <f t="shared" si="2"/>
        <v>6.9</v>
      </c>
      <c r="K14" s="6">
        <f t="shared" si="3"/>
        <v>7.9</v>
      </c>
    </row>
    <row r="15" spans="1:11">
      <c r="A15" s="3">
        <v>10</v>
      </c>
      <c r="B15" s="5">
        <v>0.35</v>
      </c>
      <c r="C15" s="5">
        <v>0.22</v>
      </c>
      <c r="D15" s="5">
        <v>0.32</v>
      </c>
      <c r="E15" s="5">
        <v>0.35</v>
      </c>
      <c r="G15" s="3">
        <v>10</v>
      </c>
      <c r="H15" s="6">
        <f t="shared" si="0"/>
        <v>7.26</v>
      </c>
      <c r="I15" s="6">
        <f t="shared" si="1"/>
        <v>5.13</v>
      </c>
      <c r="J15" s="6">
        <f t="shared" si="2"/>
        <v>7.22</v>
      </c>
      <c r="K15" s="6">
        <f t="shared" si="3"/>
        <v>8.25</v>
      </c>
    </row>
    <row r="17" spans="1:11">
      <c r="A17" s="1" t="s">
        <v>11</v>
      </c>
      <c r="B17" s="7">
        <v>0.4</v>
      </c>
      <c r="D17" s="2" t="s">
        <v>12</v>
      </c>
      <c r="G17" s="2" t="s">
        <v>13</v>
      </c>
    </row>
    <row r="18" spans="1:11">
      <c r="D18" s="3" t="s">
        <v>10</v>
      </c>
      <c r="E18" s="4" t="s">
        <v>14</v>
      </c>
      <c r="G18" s="3" t="s">
        <v>10</v>
      </c>
      <c r="H18" s="4" t="s">
        <v>6</v>
      </c>
      <c r="I18" s="4" t="s">
        <v>7</v>
      </c>
      <c r="J18" s="4" t="s">
        <v>8</v>
      </c>
      <c r="K18" s="4" t="s">
        <v>9</v>
      </c>
    </row>
    <row r="19" spans="1:11">
      <c r="A19" s="1" t="s">
        <v>15</v>
      </c>
      <c r="B19" s="8">
        <v>1</v>
      </c>
      <c r="D19" s="3">
        <v>1</v>
      </c>
      <c r="E19" s="6">
        <f>D19*$B$19</f>
        <v>1</v>
      </c>
      <c r="G19" s="3">
        <v>1</v>
      </c>
      <c r="H19" s="6">
        <f>H6-$E19</f>
        <v>0.24</v>
      </c>
      <c r="I19" s="6">
        <f t="shared" ref="I19:I28" si="4">I6-$E19</f>
        <v>-0.08</v>
      </c>
      <c r="J19" s="6">
        <f t="shared" ref="J19:J28" si="5">J6-$E19</f>
        <v>0.27</v>
      </c>
      <c r="K19" s="6">
        <f t="shared" ref="K19:K28" si="6">K6-$E19</f>
        <v>0.49</v>
      </c>
    </row>
    <row r="20" spans="1:11">
      <c r="D20" s="3">
        <v>2</v>
      </c>
      <c r="E20" s="6">
        <f t="shared" ref="E20:E28" si="7">D20*$B$19</f>
        <v>2</v>
      </c>
      <c r="G20" s="3">
        <v>2</v>
      </c>
      <c r="H20" s="6">
        <f t="shared" ref="H20:H28" si="8">H7-$E20</f>
        <v>0.27</v>
      </c>
      <c r="I20" s="6">
        <f t="shared" si="4"/>
        <v>-0.23</v>
      </c>
      <c r="J20" s="6">
        <f t="shared" si="5"/>
        <v>0.38</v>
      </c>
      <c r="K20" s="6">
        <f t="shared" si="6"/>
        <v>0.73</v>
      </c>
    </row>
    <row r="21" spans="1:11">
      <c r="D21" s="3">
        <v>3</v>
      </c>
      <c r="E21" s="6">
        <f t="shared" si="7"/>
        <v>3</v>
      </c>
      <c r="G21" s="3">
        <v>3</v>
      </c>
      <c r="H21" s="6">
        <f t="shared" si="8"/>
        <v>0.16</v>
      </c>
      <c r="I21" s="6">
        <f t="shared" si="4"/>
        <v>-0.54</v>
      </c>
      <c r="J21" s="6">
        <f t="shared" si="5"/>
        <v>0.34</v>
      </c>
      <c r="K21" s="6">
        <f t="shared" si="6"/>
        <v>0.83</v>
      </c>
    </row>
    <row r="22" spans="1:11">
      <c r="D22" s="3">
        <v>4</v>
      </c>
      <c r="E22" s="6">
        <f t="shared" si="7"/>
        <v>4</v>
      </c>
      <c r="G22" s="3">
        <v>4</v>
      </c>
      <c r="H22" s="6">
        <f t="shared" si="8"/>
        <v>-0.04</v>
      </c>
      <c r="I22" s="6">
        <f t="shared" si="4"/>
        <v>-0.96</v>
      </c>
      <c r="J22" s="6">
        <f t="shared" si="5"/>
        <v>0.19</v>
      </c>
      <c r="K22" s="6">
        <f t="shared" si="6"/>
        <v>0.8</v>
      </c>
    </row>
    <row r="23" spans="1:11">
      <c r="D23" s="3">
        <v>5</v>
      </c>
      <c r="E23" s="6">
        <f t="shared" si="7"/>
        <v>5</v>
      </c>
      <c r="G23" s="3">
        <v>5</v>
      </c>
      <c r="H23" s="6">
        <f t="shared" si="8"/>
        <v>-0.27</v>
      </c>
      <c r="I23" s="6">
        <f t="shared" si="4"/>
        <v>-1.46</v>
      </c>
      <c r="J23" s="6">
        <f t="shared" si="5"/>
        <v>-0.0800000000000001</v>
      </c>
      <c r="K23" s="6">
        <f t="shared" si="6"/>
        <v>0.609999999999999</v>
      </c>
    </row>
    <row r="24" spans="1:11">
      <c r="D24" s="3">
        <v>6</v>
      </c>
      <c r="E24" s="6">
        <f t="shared" si="7"/>
        <v>6</v>
      </c>
      <c r="G24" s="3">
        <v>6</v>
      </c>
      <c r="H24" s="6">
        <f t="shared" si="8"/>
        <v>-0.609999999999999</v>
      </c>
      <c r="I24" s="6">
        <f t="shared" si="4"/>
        <v>-2.03</v>
      </c>
      <c r="J24" s="6">
        <f t="shared" si="5"/>
        <v>-0.45</v>
      </c>
      <c r="K24" s="6">
        <f t="shared" si="6"/>
        <v>0.319999999999999</v>
      </c>
    </row>
    <row r="25" spans="1:11">
      <c r="D25" s="3">
        <v>7</v>
      </c>
      <c r="E25" s="6">
        <f t="shared" si="7"/>
        <v>7</v>
      </c>
      <c r="G25" s="3">
        <v>7</v>
      </c>
      <c r="H25" s="6">
        <f t="shared" si="8"/>
        <v>-1.02</v>
      </c>
      <c r="I25" s="6">
        <f t="shared" si="4"/>
        <v>-2.67</v>
      </c>
      <c r="J25" s="6">
        <f t="shared" si="5"/>
        <v>-0.94</v>
      </c>
      <c r="K25" s="6">
        <f t="shared" si="6"/>
        <v>-0.0500000000000007</v>
      </c>
    </row>
    <row r="26" spans="1:11">
      <c r="D26" s="3">
        <v>8</v>
      </c>
      <c r="E26" s="6">
        <f t="shared" si="7"/>
        <v>8</v>
      </c>
      <c r="G26" s="3">
        <v>8</v>
      </c>
      <c r="H26" s="6">
        <f t="shared" si="8"/>
        <v>-1.51</v>
      </c>
      <c r="I26" s="6">
        <f t="shared" si="4"/>
        <v>-3.35</v>
      </c>
      <c r="J26" s="6">
        <f t="shared" si="5"/>
        <v>-1.49</v>
      </c>
      <c r="K26" s="6">
        <f t="shared" si="6"/>
        <v>-0.52</v>
      </c>
    </row>
    <row r="27" spans="1:11">
      <c r="D27" s="3">
        <v>9</v>
      </c>
      <c r="E27" s="6">
        <f t="shared" si="7"/>
        <v>9</v>
      </c>
      <c r="G27" s="3">
        <v>9</v>
      </c>
      <c r="H27" s="6">
        <f t="shared" si="8"/>
        <v>-2.09</v>
      </c>
      <c r="I27" s="6">
        <f t="shared" si="4"/>
        <v>-4.09</v>
      </c>
      <c r="J27" s="6">
        <f t="shared" si="5"/>
        <v>-2.1</v>
      </c>
      <c r="K27" s="6">
        <f t="shared" si="6"/>
        <v>-1.1</v>
      </c>
    </row>
    <row r="28" spans="1:11">
      <c r="D28" s="3">
        <v>10</v>
      </c>
      <c r="E28" s="6">
        <f t="shared" si="7"/>
        <v>10</v>
      </c>
      <c r="G28" s="3">
        <v>10</v>
      </c>
      <c r="H28" s="6">
        <f t="shared" si="8"/>
        <v>-2.74</v>
      </c>
      <c r="I28" s="6">
        <f t="shared" si="4"/>
        <v>-4.87</v>
      </c>
      <c r="J28" s="6">
        <f t="shared" si="5"/>
        <v>-2.78</v>
      </c>
      <c r="K28" s="6">
        <f t="shared" si="6"/>
        <v>-1.75</v>
      </c>
    </row>
    <row r="30" spans="1:11">
      <c r="A30" s="2" t="s">
        <v>16</v>
      </c>
    </row>
    <row r="31" spans="1:11">
      <c r="B31" s="4" t="s">
        <v>6</v>
      </c>
      <c r="C31" s="4" t="s">
        <v>7</v>
      </c>
      <c r="D31" s="4" t="s">
        <v>8</v>
      </c>
      <c r="E31" s="4" t="s">
        <v>9</v>
      </c>
    </row>
    <row r="32" spans="1:11">
      <c r="A32" s="1" t="s">
        <v>17</v>
      </c>
      <c r="B32" s="6">
        <f>MAX(H19:H28)</f>
        <v>0.27</v>
      </c>
      <c r="C32" s="6">
        <f>MAX(I19:I28)</f>
        <v>-0.08</v>
      </c>
      <c r="D32" s="6">
        <f>MAX(J19:J28)</f>
        <v>0.38</v>
      </c>
      <c r="E32" s="6">
        <f>MAX(K19:K28)</f>
        <v>0.83</v>
      </c>
    </row>
    <row r="33" spans="1:5">
      <c r="A33" s="1" t="s">
        <v>18</v>
      </c>
      <c r="B33" s="1">
        <f>IF(B32&lt;0,0,MATCH(B32,H19:H28,0))</f>
        <v>2</v>
      </c>
      <c r="C33" s="1">
        <f>IF(C32&lt;0,0,MATCH(C32,I19:I28,0))</f>
        <v>0</v>
      </c>
      <c r="D33" s="1">
        <f>IF(D32&lt;0,0,MATCH(D32,J19:J28,0))</f>
        <v>2</v>
      </c>
      <c r="E33" s="1">
        <f>IF(E32&lt;0,0,MATCH(E32,K19:K28,0))</f>
        <v>3</v>
      </c>
    </row>
    <row r="34" spans="1:5">
      <c r="A34" s="1" t="s">
        <v>19</v>
      </c>
      <c r="B34" s="9">
        <v>10</v>
      </c>
      <c r="C34" s="9">
        <v>5</v>
      </c>
      <c r="D34" s="9">
        <v>7.5</v>
      </c>
      <c r="E34" s="9">
        <v>15</v>
      </c>
    </row>
    <row r="36" spans="1:5">
      <c r="A36" s="1" t="s">
        <v>20</v>
      </c>
      <c r="B36" s="1" cm="1">
        <f t="array" ref="B36">SUMPRODUCT(B33:E33,B34:E34)</f>
        <v>80</v>
      </c>
    </row>
    <row r="37" spans="1:5">
      <c r="A37" s="1" t="s">
        <v>21</v>
      </c>
      <c r="B37" s="10">
        <f>B36*(Unit_price-Unit_cost)</f>
        <v>48</v>
      </c>
    </row>
  </sheetData>
  <pageMargins left="0.75" right="0.75" top="1" bottom="1" header="0.5" footer="0.5"/>
  <pageSetup paperSize="1" orientation="portrait" horizontalDpi="300" verticalDpi="300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Chris Albright</dc:creator>
  <cp:lastModifiedBy>PS:</cp:lastModifiedBy>
  <dcterms:created xsi:type="dcterms:W3CDTF">2007-05-15T20:26:00Z</dcterms:created>
  <dcterms:modified xsi:type="dcterms:W3CDTF">2025-11-23T01:47:46Z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1A5618E4BB544197942C11574FFDF1F8_12</vt:lpwstr>
  </property>
  <property fmtid="{D5CDD505-2E9C-101B-9397-08002B2CF9AE}" pid="3" name="KSOProductBuildVer">
    <vt:lpwstr>2052-12.1.0.23542</vt:lpwstr>
  </property>
</Properties>
</file>